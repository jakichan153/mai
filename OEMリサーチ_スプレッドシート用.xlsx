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キーワード" sheetId="3" state="visible" r:id="rId5"/>
    <sheet name="セラーリスト" sheetId="4" state="visible" r:id="rId6"/>
    <sheet name="商品候補" sheetId="5" state="visible" r:id="rId7"/>
    <sheet name="上位10件データ" sheetId="6" state="visible" r:id="rId8"/>
    <sheet name="ライバル調査" sheetId="7" state="visible" r:id="rId9"/>
    <sheet name="利益計算" sheetId="8" state="visible" r:id="rId10"/>
  </sheets>
  <definedNames>
    <definedName function="false" hidden="true" localSheetId="3" name="_xlnm._FilterDatabase" vbProcedure="false">セラーリスト!$A$1:$O$201</definedName>
    <definedName function="false" hidden="true" localSheetId="6" name="_xlnm._FilterDatabase" vbProcedure="false">ライバル調査!$A$1:$Q$201</definedName>
    <definedName function="false" hidden="true" localSheetId="5" name="_xlnm._FilterDatabase" vbProcedure="false">上位10件データ!$A$1:$I$1001</definedName>
    <definedName function="false" hidden="true" localSheetId="4" name="_xlnm._FilterDatabase" vbProcedure="false">商品候補!$A$1:$R$201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WenQuanYi Zen Hei"/>
            <family val="2"/>
          </rPr>
          <t xml:space="preserve">フリーサイズ中心が初心者向け（在庫がサイズで分散しない）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WenQuanYi Zen Hei"/>
            <family val="2"/>
          </rPr>
          <t xml:space="preserve">出品者名をクリックした先の</t>
        </r>
        <r>
          <rPr>
            <sz val="10"/>
            <rFont val="Arial"/>
            <family val="2"/>
          </rPr>
          <t xml:space="preserve">URL</t>
        </r>
      </text>
    </comment>
    <comment ref="F1" authorId="0">
      <text>
        <r>
          <rPr>
            <sz val="10"/>
            <rFont val="WenQuanYi Zen Hei"/>
            <family val="2"/>
          </rPr>
          <t xml:space="preserve">出品者情報の住所（例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広東省）</t>
        </r>
      </text>
    </comment>
    <comment ref="G1" authorId="0">
      <text>
        <r>
          <rPr>
            <sz val="10"/>
            <rFont val="WenQuanYi Zen Hei"/>
            <family val="2"/>
          </rPr>
          <t xml:space="preserve">はい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たぶん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いいえ</t>
        </r>
      </text>
    </comment>
    <comment ref="H1" authorId="0">
      <text>
        <r>
          <rPr>
            <sz val="10"/>
            <rFont val="WenQuanYi Zen Hei"/>
            <family val="2"/>
          </rPr>
          <t xml:space="preserve">ストアの出品数（目安で</t>
        </r>
        <r>
          <rPr>
            <sz val="10"/>
            <rFont val="Arial"/>
            <family val="2"/>
          </rPr>
          <t xml:space="preserve">OK</t>
        </r>
        <r>
          <rPr>
            <sz val="10"/>
            <rFont val="WenQuanYi Zen Hei"/>
            <family val="2"/>
          </rPr>
          <t xml:space="preserve">）</t>
        </r>
      </text>
    </comment>
    <comment ref="I1" authorId="0">
      <text>
        <r>
          <rPr>
            <sz val="10"/>
            <rFont val="WenQuanYi Zen Hei"/>
            <family val="2"/>
          </rPr>
          <t xml:space="preserve">出品者の評価件数（過去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か月など）</t>
        </r>
      </text>
    </comment>
    <comment ref="J1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95%</t>
        </r>
      </text>
    </comment>
    <comment ref="L1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1,500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3,000</t>
        </r>
        <r>
          <rPr>
            <sz val="10"/>
            <rFont val="WenQuanYi Zen Hei"/>
            <family val="2"/>
          </rPr>
          <t xml:space="preserve">円</t>
        </r>
      </text>
    </comment>
    <comment ref="M1" authorId="0">
      <text>
        <r>
          <rPr>
            <sz val="10"/>
            <rFont val="Arial"/>
            <family val="2"/>
          </rPr>
          <t xml:space="preserve">A=</t>
        </r>
        <r>
          <rPr>
            <sz val="10"/>
            <rFont val="WenQuanYi Zen Hei"/>
            <family val="2"/>
          </rPr>
          <t xml:space="preserve">商品をよく見る </t>
        </r>
        <r>
          <rPr>
            <sz val="10"/>
            <rFont val="Arial"/>
            <family val="2"/>
          </rPr>
          <t xml:space="preserve">/ B=</t>
        </r>
        <r>
          <rPr>
            <sz val="10"/>
            <rFont val="WenQuanYi Zen Hei"/>
            <family val="2"/>
          </rPr>
          <t xml:space="preserve">後で </t>
        </r>
        <r>
          <rPr>
            <sz val="10"/>
            <rFont val="Arial"/>
            <family val="2"/>
          </rPr>
          <t xml:space="preserve">/ C=</t>
        </r>
        <r>
          <rPr>
            <sz val="10"/>
            <rFont val="WenQuanYi Zen Hei"/>
            <family val="2"/>
          </rPr>
          <t xml:space="preserve">対象外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セラーリストのセラー名</t>
        </r>
      </text>
    </comment>
    <comment ref="E1" authorId="0">
      <text>
        <r>
          <rPr>
            <sz val="10"/>
            <rFont val="WenQuanYi Zen Hei"/>
            <family val="2"/>
          </rPr>
          <t xml:space="preserve">商品ページ</t>
        </r>
        <r>
          <rPr>
            <sz val="10"/>
            <rFont val="Arial"/>
            <family val="2"/>
          </rPr>
          <t xml:space="preserve">URL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/dp/ </t>
        </r>
        <r>
          <rPr>
            <sz val="10"/>
            <rFont val="WenQuanYi Zen Hei"/>
            <family val="2"/>
          </rPr>
          <t xml:space="preserve">の後ろの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桁</t>
        </r>
      </text>
    </comment>
    <comment ref="H1" authorId="0">
      <text>
        <r>
          <rPr>
            <sz val="10"/>
            <rFont val="WenQuanYi Zen Hei"/>
            <family val="2"/>
          </rPr>
          <t xml:space="preserve">商品ページの「</t>
        </r>
        <r>
          <rPr>
            <sz val="10"/>
            <rFont val="Arial"/>
            <family val="2"/>
          </rPr>
          <t xml:space="preserve">Amazon</t>
        </r>
        <r>
          <rPr>
            <sz val="10"/>
            <rFont val="WenQuanYi Zen Hei"/>
            <family val="2"/>
          </rPr>
          <t xml:space="preserve">売れ筋ランキング」のカテゴリ順位</t>
        </r>
      </text>
    </comment>
    <comment ref="L1" authorId="0">
      <text>
        <r>
          <rPr>
            <sz val="10"/>
            <rFont val="WenQuanYi Zen Hei"/>
            <family val="2"/>
          </rPr>
          <t xml:space="preserve">ツール（セラースプライト等）の推定値。なければ空欄</t>
        </r>
      </text>
    </comment>
    <comment ref="M1" authorId="0">
      <text>
        <r>
          <rPr>
            <sz val="10"/>
            <rFont val="WenQuanYi Zen Hei"/>
            <family val="2"/>
          </rPr>
          <t xml:space="preserve">バリエーションの数</t>
        </r>
      </text>
    </comment>
    <comment ref="N1" authorId="0">
      <text>
        <r>
          <rPr>
            <sz val="10"/>
            <rFont val="WenQuanYi Zen Hei"/>
            <family val="2"/>
          </rPr>
          <t xml:space="preserve">低評価レビューの不満点から考える（例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毛玉になる→素材変更）</t>
        </r>
      </text>
    </comment>
    <comment ref="O1" authorId="0">
      <text>
        <r>
          <rPr>
            <sz val="10"/>
            <rFont val="WenQuanYi Zen Hei"/>
            <family val="2"/>
          </rPr>
          <t xml:space="preserve">ライバル調査で使うキーワード</t>
        </r>
      </text>
    </comment>
    <comment ref="P1" authorId="0">
      <text>
        <r>
          <rPr>
            <sz val="10"/>
            <rFont val="WenQuanYi Zen Hei"/>
            <family val="2"/>
          </rPr>
          <t xml:space="preserve">ライバル調査シートから自動表示</t>
        </r>
      </text>
    </comment>
    <comment ref="Q1" authorId="0">
      <text>
        <r>
          <rPr>
            <sz val="10"/>
            <rFont val="WenQuanYi Zen Hei"/>
            <family val="2"/>
          </rPr>
          <t xml:space="preserve">採用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保留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見送り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ライバル調査シートのキーワードと完全に同じ文字で入力</t>
        </r>
      </text>
    </comment>
    <comment ref="B1" authorId="0">
      <text>
        <r>
          <rPr>
            <sz val="10"/>
            <rFont val="WenQuanYi Zen Hei"/>
            <family val="2"/>
          </rPr>
          <t xml:space="preserve">広告（スポンサー）は除いて数える</t>
        </r>
      </text>
    </comment>
    <comment ref="G1" authorId="0">
      <text>
        <r>
          <rPr>
            <sz val="10"/>
            <rFont val="WenQuanYi Zen Hei"/>
            <family val="2"/>
          </rPr>
          <t xml:space="preserve">ツールの推定値。なければ</t>
        </r>
        <r>
          <rPr>
            <sz val="10"/>
            <rFont val="Arial"/>
            <family val="2"/>
          </rPr>
          <t xml:space="preserve">BSR</t>
        </r>
        <r>
          <rPr>
            <sz val="10"/>
            <rFont val="WenQuanYi Zen Hei"/>
            <family val="2"/>
          </rPr>
          <t xml:space="preserve">から目安で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上位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件データシートと同じ文字で入力</t>
        </r>
      </text>
    </comment>
    <comment ref="C1" authorId="0">
      <text>
        <r>
          <rPr>
            <sz val="10"/>
            <rFont val="WenQuanYi Zen Hei"/>
            <family val="2"/>
          </rPr>
          <t xml:space="preserve">検索結果の「○○件以上」の数字（参考情報）</t>
        </r>
      </text>
    </comment>
    <comment ref="D1" authorId="0">
      <text>
        <r>
          <rPr>
            <sz val="10"/>
            <rFont val="WenQuanYi Zen Hei"/>
            <family val="2"/>
          </rPr>
          <t xml:space="preserve">上位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件データに入っている件数</t>
        </r>
      </text>
    </comment>
    <comment ref="F1" authorId="0">
      <text>
        <r>
          <rPr>
            <sz val="10"/>
            <rFont val="WenQuanYi Zen Hei"/>
            <family val="2"/>
          </rPr>
          <t xml:space="preserve">このキーワード上位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件の市場規模の目安</t>
        </r>
      </text>
    </comment>
    <comment ref="J1" authorId="0">
      <text>
        <r>
          <rPr>
            <sz val="10"/>
            <rFont val="WenQuanYi Zen Hei"/>
            <family val="2"/>
          </rPr>
          <t xml:space="preserve">需要・強者・新規枠・価格の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項目＋中国セラー率</t>
        </r>
        <r>
          <rPr>
            <sz val="10"/>
            <rFont val="Arial"/>
            <family val="2"/>
          </rPr>
          <t xml:space="preserve">50%</t>
        </r>
        <r>
          <rPr>
            <sz val="10"/>
            <rFont val="WenQuanYi Zen Hei"/>
            <family val="2"/>
          </rPr>
          <t xml:space="preserve">以上で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点。最大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点</t>
        </r>
      </text>
    </comment>
    <comment ref="P1" authorId="0">
      <text>
        <r>
          <rPr>
            <sz val="10"/>
            <rFont val="WenQuanYi Zen Hei"/>
            <family val="2"/>
          </rPr>
          <t xml:space="preserve">上位に中国セラーが多い＝</t>
        </r>
        <r>
          <rPr>
            <sz val="10"/>
            <rFont val="Arial"/>
            <family val="2"/>
          </rPr>
          <t xml:space="preserve">OEM</t>
        </r>
        <r>
          <rPr>
            <sz val="10"/>
            <rFont val="WenQuanYi Zen Hei"/>
            <family val="2"/>
          </rPr>
          <t xml:space="preserve">で戦える市場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1688</t>
        </r>
        <r>
          <rPr>
            <sz val="10"/>
            <rFont val="WenQuanYi Zen Hei"/>
            <family val="2"/>
          </rPr>
          <t xml:space="preserve">やアリババの単価</t>
        </r>
      </text>
    </comment>
    <comment ref="E1" authorId="0">
      <text>
        <r>
          <rPr>
            <sz val="10"/>
            <rFont val="WenQuanYi Zen Hei"/>
            <family val="2"/>
          </rPr>
          <t xml:space="preserve">代行業者の見積もり（重さ</t>
        </r>
        <r>
          <rPr>
            <sz val="10"/>
            <rFont val="Arial"/>
            <family val="2"/>
          </rPr>
          <t xml:space="preserve">×kg</t>
        </r>
        <r>
          <rPr>
            <sz val="10"/>
            <rFont val="WenQuanYi Zen Hei"/>
            <family val="2"/>
          </rPr>
          <t xml:space="preserve">単価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WenQuanYi Zen Hei"/>
            <family val="2"/>
          </rPr>
          <t xml:space="preserve">個数）</t>
        </r>
      </text>
    </comment>
    <comment ref="F1" authorId="0">
      <text>
        <r>
          <rPr>
            <sz val="10"/>
            <rFont val="WenQuanYi Zen Hei"/>
            <family val="2"/>
          </rPr>
          <t xml:space="preserve">タグ・ロゴ・専用袋など</t>
        </r>
      </text>
    </comment>
    <comment ref="G1" authorId="0">
      <text>
        <r>
          <rPr>
            <sz val="10"/>
            <rFont val="WenQuanYi Zen Hei"/>
            <family val="2"/>
          </rPr>
          <t xml:space="preserve">（単価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国内送料）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為替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1+</t>
        </r>
        <r>
          <rPr>
            <sz val="10"/>
            <rFont val="WenQuanYi Zen Hei"/>
            <family val="2"/>
          </rPr>
          <t xml:space="preserve">代行手数料）＋国際送料＋</t>
        </r>
        <r>
          <rPr>
            <sz val="10"/>
            <rFont val="Arial"/>
            <family val="2"/>
          </rPr>
          <t xml:space="preserve">OEM</t>
        </r>
        <r>
          <rPr>
            <sz val="10"/>
            <rFont val="WenQuanYi Zen Hei"/>
            <family val="2"/>
          </rPr>
          <t xml:space="preserve">費用</t>
        </r>
      </text>
    </comment>
    <comment ref="I1" authorId="0">
      <text>
        <r>
          <rPr>
            <sz val="10"/>
            <rFont val="WenQuanYi Zen Hei"/>
            <family val="2"/>
          </rPr>
          <t xml:space="preserve">販売手数料＋</t>
        </r>
        <r>
          <rPr>
            <sz val="10"/>
            <rFont val="Arial"/>
            <family val="2"/>
          </rPr>
          <t xml:space="preserve">FBA</t>
        </r>
        <r>
          <rPr>
            <sz val="10"/>
            <rFont val="WenQuanYi Zen Hei"/>
            <family val="2"/>
          </rPr>
          <t xml:space="preserve">手数料＋その他経費</t>
        </r>
      </text>
    </comment>
    <comment ref="L1" authorId="0">
      <text>
        <r>
          <rPr>
            <sz val="10"/>
            <rFont val="WenQuanYi Zen Hei"/>
            <family val="2"/>
          </rPr>
          <t xml:space="preserve">利益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WenQuanYi Zen Hei"/>
            <family val="2"/>
          </rPr>
          <t xml:space="preserve">仕入れにかかったお金</t>
        </r>
      </text>
    </comment>
    <comment ref="M1" authorId="0">
      <text>
        <r>
          <rPr>
            <sz val="10"/>
            <rFont val="WenQuanYi Zen Hei"/>
            <family val="2"/>
          </rPr>
          <t xml:space="preserve">設定シートの月の目標利益</t>
        </r>
        <r>
          <rPr>
            <sz val="10"/>
            <rFont val="Arial"/>
            <family val="2"/>
          </rPr>
          <t xml:space="preserve">÷1</t>
        </r>
        <r>
          <rPr>
            <sz val="10"/>
            <rFont val="WenQuanYi Zen Hei"/>
            <family val="2"/>
          </rPr>
          <t xml:space="preserve">個あたり利益</t>
        </r>
      </text>
    </comment>
    <comment ref="N1" authorId="0">
      <text>
        <r>
          <rPr>
            <sz val="10"/>
            <rFont val="WenQuanYi Zen Hei"/>
            <family val="2"/>
          </rPr>
          <t xml:space="preserve">初回予算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WenQuanYi Zen Hei"/>
            <family val="2"/>
          </rPr>
          <t xml:space="preserve">（仕入れ原価＋関税・消費税）</t>
        </r>
      </text>
    </comment>
    <comment ref="O1" authorId="0">
      <text>
        <r>
          <rPr>
            <sz val="10"/>
            <rFont val="WenQuanYi Zen Hei"/>
            <family val="2"/>
          </rPr>
          <t xml:space="preserve">工場・業者の最小注文数</t>
        </r>
      </text>
    </comment>
  </commentList>
</comments>
</file>

<file path=xl/sharedStrings.xml><?xml version="1.0" encoding="utf-8"?>
<sst xmlns="http://schemas.openxmlformats.org/spreadsheetml/2006/main" count="850" uniqueCount="472">
  <si>
    <r>
      <rPr>
        <b val="true"/>
        <sz val="14"/>
        <rFont val="Noto Sans JP"/>
        <family val="0"/>
        <charset val="1"/>
      </rPr>
      <t xml:space="preserve">OEM</t>
    </r>
    <r>
      <rPr>
        <b val="true"/>
        <sz val="14"/>
        <rFont val="WenQuanYi Zen Hei"/>
        <family val="2"/>
      </rPr>
      <t xml:space="preserve">リサーチ管理シート</t>
    </r>
  </si>
  <si>
    <t xml:space="preserve">■ 作業の流れ</t>
  </si>
  <si>
    <t xml:space="preserve">① キーワード … 検索するキーワードを決める（案を入れてあります）</t>
  </si>
  <si>
    <t xml:space="preserve">② セラーリスト … 検索結果から中国から仕入れていそうなセラーを記録する</t>
  </si>
  <si>
    <t xml:space="preserve">③ 商品候補 … 良さそうなセラーの商品を記録する（ASIN・価格・BSR・レビュー数など）</t>
  </si>
  <si>
    <t xml:space="preserve">④ 上位10件データ → ライバル調査 … 候補商品のキーワードで検索し、上位10件を入力すると自動で判定される</t>
  </si>
  <si>
    <t xml:space="preserve">⑤ 利益計算 … 仕入れ値を入れると、1個あたりの利益・目標達成に必要な販売数・予算内の仕入れ数が出る</t>
  </si>
  <si>
    <t xml:space="preserve">■ セルの色の意味</t>
  </si>
  <si>
    <t xml:space="preserve">黄色の背景・青い文字 … あなたが入力するセル</t>
  </si>
  <si>
    <t xml:space="preserve">白の背景・黒い文字 … 自動計算（触らない）</t>
  </si>
  <si>
    <t xml:space="preserve">灰色の背景 … 記入例の行（参考にしたら消すか上書きしてOK）</t>
  </si>
  <si>
    <t xml:space="preserve">■ 判定基準・手数料などの数値は「設定」シートで変更できます</t>
  </si>
  <si>
    <t xml:space="preserve">初期値は目安です。慣れてきたら自分の結果に合わせて調整してください。</t>
  </si>
  <si>
    <t xml:space="preserve">手数料・為替・関税は変わるため、実際に仕入れる前にセラーセントラル等で最新値を確認してください。</t>
  </si>
  <si>
    <t xml:space="preserve">■ 中国セラーの見分け方（セラーリスト用）</t>
  </si>
  <si>
    <t xml:space="preserve">・ストアページの「出品者情報」の住所が中国（広東省・深圳市・浙江省 など）</t>
  </si>
  <si>
    <t xml:space="preserve">・ブランド名がアルファベットの羅列（例: XJYUKL）や、意味のない英単語</t>
  </si>
  <si>
    <t xml:space="preserve">・同じような商品を色違い・類似品で大量に出品している</t>
  </si>
  <si>
    <t xml:space="preserve">・商品画像が似たテンプレート、日本語説明文がやや不自然</t>
  </si>
  <si>
    <t xml:space="preserve">項目</t>
  </si>
  <si>
    <t xml:space="preserve">値</t>
  </si>
  <si>
    <t xml:space="preserve">説明・出典</t>
  </si>
  <si>
    <t xml:space="preserve">■ 目標・予算</t>
  </si>
  <si>
    <t xml:space="preserve">月の目標利益（円）</t>
  </si>
  <si>
    <t xml:space="preserve">あなたの目標（ユーザー指定）</t>
  </si>
  <si>
    <t xml:space="preserve">初回の仕入れ予算（円）</t>
  </si>
  <si>
    <t xml:space="preserve">あなたの予算（ユーザー指定）</t>
  </si>
  <si>
    <t xml:space="preserve">■ コストの前提</t>
  </si>
  <si>
    <t xml:space="preserve">為替（1元＝円）</t>
  </si>
  <si>
    <t xml:space="preserve">仮の値。仕入れ時に最新レートへ更新してください</t>
  </si>
  <si>
    <t xml:space="preserve">仕入れ代行手数料率</t>
  </si>
  <si>
    <t xml:space="preserve">代行業者により3〜10%程度。契約先の料金に合わせて変更</t>
  </si>
  <si>
    <t xml:space="preserve">関税率（衣類）</t>
  </si>
  <si>
    <t xml:space="preserve">衣類はおおむね4〜13%（素材・種類で異なる）。仮で10%。正確な税率は税関の輸入統計品目表で確認</t>
  </si>
  <si>
    <t xml:space="preserve">輸入消費税率</t>
  </si>
  <si>
    <t xml:space="preserve">輸入時の消費税。簡易化のため（仕入れ値＋送料＋関税）に掛けて計算</t>
  </si>
  <si>
    <r>
      <rPr>
        <sz val="11"/>
        <rFont val="Noto Sans JP"/>
        <family val="0"/>
        <charset val="1"/>
      </rPr>
      <t xml:space="preserve">Amazon</t>
    </r>
    <r>
      <rPr>
        <sz val="11"/>
        <rFont val="WenQuanYi Zen Hei"/>
        <family val="2"/>
      </rPr>
      <t xml:space="preserve">販売手数料率</t>
    </r>
  </si>
  <si>
    <t xml:space="preserve">服&amp;ファッション小物は価格帯で料率が変わる（3,000円以下は低い料率）。セラーセントラルの手数料ページで要確認</t>
  </si>
  <si>
    <r>
      <rPr>
        <sz val="11"/>
        <rFont val="Noto Sans JP"/>
        <family val="0"/>
        <charset val="1"/>
      </rPr>
      <t xml:space="preserve">FBA</t>
    </r>
    <r>
      <rPr>
        <sz val="11"/>
        <rFont val="WenQuanYi Zen Hei"/>
        <family val="2"/>
      </rPr>
      <t xml:space="preserve">配送代行手数料（円</t>
    </r>
    <r>
      <rPr>
        <sz val="11"/>
        <rFont val="Noto Sans JP"/>
        <family val="0"/>
        <charset val="1"/>
      </rPr>
      <t xml:space="preserve">/</t>
    </r>
    <r>
      <rPr>
        <sz val="11"/>
        <rFont val="WenQuanYi Zen Hei"/>
        <family val="2"/>
      </rPr>
      <t xml:space="preserve">個）</t>
    </r>
  </si>
  <si>
    <r>
      <rPr>
        <sz val="11"/>
        <color rgb="FF595959"/>
        <rFont val="Noto Sans JP"/>
        <family val="0"/>
        <charset val="1"/>
      </rPr>
      <t xml:space="preserve">SellerSprite</t>
    </r>
    <r>
      <rPr>
        <sz val="11"/>
        <color rgb="FF595959"/>
        <rFont val="WenQuanYi Zen Hei"/>
        <family val="2"/>
      </rPr>
      <t xml:space="preserve">出力</t>
    </r>
    <r>
      <rPr>
        <sz val="11"/>
        <color rgb="FF595959"/>
        <rFont val="Noto Sans JP"/>
        <family val="0"/>
        <charset val="1"/>
      </rPr>
      <t xml:space="preserve">(10/12)</t>
    </r>
    <r>
      <rPr>
        <sz val="11"/>
        <color rgb="FF595959"/>
        <rFont val="WenQuanYi Zen Hei"/>
        <family val="2"/>
      </rPr>
      <t xml:space="preserve">のネックウォーマー実績</t>
    </r>
    <r>
      <rPr>
        <sz val="11"/>
        <color rgb="FF595959"/>
        <rFont val="Noto Sans JP"/>
        <family val="0"/>
        <charset val="1"/>
      </rPr>
      <t xml:space="preserve">: </t>
    </r>
    <r>
      <rPr>
        <sz val="11"/>
        <color rgb="FF595959"/>
        <rFont val="WenQuanYi Zen Hei"/>
        <family val="2"/>
      </rPr>
      <t xml:space="preserve">小型</t>
    </r>
    <r>
      <rPr>
        <sz val="11"/>
        <color rgb="FF595959"/>
        <rFont val="Noto Sans JP"/>
        <family val="0"/>
        <charset val="1"/>
      </rPr>
      <t xml:space="preserve">222</t>
    </r>
    <r>
      <rPr>
        <sz val="11"/>
        <color rgb="FF595959"/>
        <rFont val="WenQuanYi Zen Hei"/>
        <family val="2"/>
      </rPr>
      <t xml:space="preserve">〜</t>
    </r>
    <r>
      <rPr>
        <sz val="11"/>
        <color rgb="FF595959"/>
        <rFont val="Noto Sans JP"/>
        <family val="0"/>
        <charset val="1"/>
      </rPr>
      <t xml:space="preserve">288</t>
    </r>
    <r>
      <rPr>
        <sz val="11"/>
        <color rgb="FF595959"/>
        <rFont val="WenQuanYi Zen Hei"/>
        <family val="2"/>
      </rPr>
      <t xml:space="preserve">円・標準</t>
    </r>
    <r>
      <rPr>
        <sz val="11"/>
        <color rgb="FF595959"/>
        <rFont val="Noto Sans JP"/>
        <family val="0"/>
        <charset val="1"/>
      </rPr>
      <t xml:space="preserve">252</t>
    </r>
    <r>
      <rPr>
        <sz val="11"/>
        <color rgb="FF595959"/>
        <rFont val="WenQuanYi Zen Hei"/>
        <family val="2"/>
      </rPr>
      <t xml:space="preserve">〜</t>
    </r>
    <r>
      <rPr>
        <sz val="11"/>
        <color rgb="FF595959"/>
        <rFont val="Noto Sans JP"/>
        <family val="0"/>
        <charset val="1"/>
      </rPr>
      <t xml:space="preserve">430</t>
    </r>
    <r>
      <rPr>
        <sz val="11"/>
        <color rgb="FF595959"/>
        <rFont val="WenQuanYi Zen Hei"/>
        <family val="2"/>
      </rPr>
      <t xml:space="preserve">円。商品ごとに要確認</t>
    </r>
  </si>
  <si>
    <t xml:space="preserve">その他経費（円/個）</t>
  </si>
  <si>
    <t xml:space="preserve">タグ・袋・FBAラベル・倉庫保管料などの概算</t>
  </si>
  <si>
    <t xml:space="preserve">■ ライバル調査の合格ライン</t>
  </si>
  <si>
    <t xml:space="preserve">上位10件の平均月販 ≥（個）</t>
  </si>
  <si>
    <t xml:space="preserve">需要があるかの目安。低いと売れない</t>
  </si>
  <si>
    <t xml:space="preserve">レビュー1,000件以上の強者の数 ≤</t>
  </si>
  <si>
    <t xml:space="preserve">多いと勝てない</t>
  </si>
  <si>
    <t xml:space="preserve">レビュー100件未満の出品の数 ≥</t>
  </si>
  <si>
    <t xml:space="preserve">新しい出品でも上位にいる＝新規参入の余地あり</t>
  </si>
  <si>
    <t xml:space="preserve">上位10件の平均価格 下限（円）</t>
  </si>
  <si>
    <t xml:space="preserve">安すぎると利益が残らない</t>
  </si>
  <si>
    <t xml:space="preserve">上位10件の平均価格 上限（円）</t>
  </si>
  <si>
    <t xml:space="preserve">あなたの価格帯（3,000円弱）の周辺</t>
  </si>
  <si>
    <t xml:space="preserve">合格項目数（5項目中）◎</t>
  </si>
  <si>
    <t xml:space="preserve">この数以上なら「◎ 有力」</t>
  </si>
  <si>
    <t xml:space="preserve">合格項目数（5項目中）○</t>
  </si>
  <si>
    <t xml:space="preserve">この数以上なら「○ 候補」、未満は「△」「×」</t>
  </si>
  <si>
    <t xml:space="preserve">■ 利益の合格ライン</t>
  </si>
  <si>
    <t xml:space="preserve">最低利益率</t>
  </si>
  <si>
    <t xml:space="preserve">販売価格に対する利益の割合</t>
  </si>
  <si>
    <t xml:space="preserve">最低1個あたり利益（円）</t>
  </si>
  <si>
    <t xml:space="preserve">No</t>
  </si>
  <si>
    <t xml:space="preserve">キーワード</t>
  </si>
  <si>
    <t xml:space="preserve">ジャンル</t>
  </si>
  <si>
    <t xml:space="preserve">季節</t>
  </si>
  <si>
    <t xml:space="preserve">サイズ展開</t>
  </si>
  <si>
    <t xml:space="preserve">検索した日</t>
  </si>
  <si>
    <t xml:space="preserve">拾えたセラー数</t>
  </si>
  <si>
    <t xml:space="preserve">状態</t>
  </si>
  <si>
    <t xml:space="preserve">メモ</t>
  </si>
  <si>
    <t xml:space="preserve">ネックウォーマー 裏起毛</t>
  </si>
  <si>
    <t xml:space="preserve">防寒小物</t>
  </si>
  <si>
    <t xml:space="preserve">秋冬</t>
  </si>
  <si>
    <t xml:space="preserve">フリー</t>
  </si>
  <si>
    <t xml:space="preserve">2026/10/12</t>
  </si>
  <si>
    <t xml:space="preserve">調査中</t>
  </si>
  <si>
    <t xml:space="preserve">不満は「サイズ」「息で濡れる/息苦しい」「検品不足」に集中。立体口元＋調整コード＋長めの首丈で差別化案</t>
  </si>
  <si>
    <t xml:space="preserve">レッグウォーマー</t>
  </si>
  <si>
    <t xml:space="preserve">未着手</t>
  </si>
  <si>
    <t xml:space="preserve">スマホ対応 手袋 レディース</t>
  </si>
  <si>
    <t xml:space="preserve">ニット帽 レディース</t>
  </si>
  <si>
    <t xml:space="preserve">帽子</t>
  </si>
  <si>
    <t xml:space="preserve">腹巻き 綿</t>
  </si>
  <si>
    <t xml:space="preserve">インナー</t>
  </si>
  <si>
    <t xml:space="preserve">ルームソックス もこもこ</t>
  </si>
  <si>
    <t xml:space="preserve">靴下</t>
  </si>
  <si>
    <t xml:space="preserve">ブランケット 着る</t>
  </si>
  <si>
    <t xml:space="preserve">ルームウェア</t>
  </si>
  <si>
    <t xml:space="preserve">ルームウェア レディース 上下</t>
  </si>
  <si>
    <t xml:space="preserve">通年</t>
  </si>
  <si>
    <t xml:space="preserve">S/M/L</t>
  </si>
  <si>
    <t xml:space="preserve">裏起毛 レギンス</t>
  </si>
  <si>
    <t xml:space="preserve">ボトムス</t>
  </si>
  <si>
    <t xml:space="preserve">ストール 大判</t>
  </si>
  <si>
    <t xml:space="preserve">ファッション小物</t>
  </si>
  <si>
    <t xml:space="preserve">バケットハット</t>
  </si>
  <si>
    <t xml:space="preserve">春夏</t>
  </si>
  <si>
    <t xml:space="preserve">冷感 アームカバー</t>
  </si>
  <si>
    <r>
      <rPr>
        <sz val="11"/>
        <color rgb="FF0000FF"/>
        <rFont val="Noto Sans JP"/>
        <family val="0"/>
        <charset val="1"/>
      </rPr>
      <t xml:space="preserve">UV</t>
    </r>
    <r>
      <rPr>
        <sz val="11"/>
        <color rgb="FF0000FF"/>
        <rFont val="WenQuanYi Zen Hei"/>
        <family val="2"/>
      </rPr>
      <t xml:space="preserve">小物</t>
    </r>
  </si>
  <si>
    <t xml:space="preserve">ヘアバンド 洗顔</t>
  </si>
  <si>
    <t xml:space="preserve">ヘアアクセ</t>
  </si>
  <si>
    <t xml:space="preserve">エプロン おしゃれ</t>
  </si>
  <si>
    <t xml:space="preserve">エプロン</t>
  </si>
  <si>
    <t xml:space="preserve">サコッシュ</t>
  </si>
  <si>
    <t xml:space="preserve">バッグ</t>
  </si>
  <si>
    <t xml:space="preserve">レインポンチョ 自転車</t>
  </si>
  <si>
    <t xml:space="preserve">雨具</t>
  </si>
  <si>
    <t xml:space="preserve">ワイドパンツ レディース</t>
  </si>
  <si>
    <r>
      <rPr>
        <sz val="11"/>
        <color rgb="FF0000FF"/>
        <rFont val="Noto Sans JP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本指ソックス</t>
    </r>
  </si>
  <si>
    <t xml:space="preserve">※キーワードは案です。季節が合うもの・フリーサイズのものから始めるのがおすすめ。</t>
  </si>
  <si>
    <t xml:space="preserve">見つけたキーワード</t>
  </si>
  <si>
    <t xml:space="preserve">セラー名</t>
  </si>
  <si>
    <t xml:space="preserve">ストアURL</t>
  </si>
  <si>
    <t xml:space="preserve">ブランド名</t>
  </si>
  <si>
    <t xml:space="preserve">所在地</t>
  </si>
  <si>
    <t xml:space="preserve">中国セラー？</t>
  </si>
  <si>
    <t xml:space="preserve">商品数</t>
  </si>
  <si>
    <t xml:space="preserve">評価数</t>
  </si>
  <si>
    <t xml:space="preserve">高評価率</t>
  </si>
  <si>
    <t xml:space="preserve">主なカテゴリ</t>
  </si>
  <si>
    <t xml:space="preserve">価格帯</t>
  </si>
  <si>
    <t xml:space="preserve">注目度</t>
  </si>
  <si>
    <t xml:space="preserve">確認日</t>
  </si>
  <si>
    <r>
      <rPr>
        <sz val="11"/>
        <color rgb="FF0000FF"/>
        <rFont val="Noto Sans JP"/>
        <family val="0"/>
        <charset val="1"/>
      </rPr>
      <t xml:space="preserve">Andeor</t>
    </r>
    <r>
      <rPr>
        <sz val="11"/>
        <color rgb="FF0000FF"/>
        <rFont val="WenQuanYi Zen Hei"/>
        <family val="2"/>
      </rPr>
      <t xml:space="preserve">【公式直営店】</t>
    </r>
  </si>
  <si>
    <t xml:space="preserve">https://www.amazon.co.jp/gp/help/seller/at-a-glance.html/ref=dp_merchant_link?seller=A24PQELGGN47G0</t>
  </si>
  <si>
    <t xml:space="preserve">Andeor</t>
  </si>
  <si>
    <t xml:space="preserve">深圳市 518100 CN</t>
  </si>
  <si>
    <t xml:space="preserve">はい</t>
  </si>
  <si>
    <t xml:space="preserve">ネックウォーマー</t>
  </si>
  <si>
    <r>
      <rPr>
        <sz val="11"/>
        <color rgb="FF0000FF"/>
        <rFont val="Noto Sans JP"/>
        <family val="0"/>
        <charset val="1"/>
      </rPr>
      <t xml:space="preserve">1,880</t>
    </r>
    <r>
      <rPr>
        <sz val="11"/>
        <color rgb="FF0000FF"/>
        <rFont val="WenQuanYi Zen Hei"/>
        <family val="2"/>
      </rPr>
      <t xml:space="preserve">円</t>
    </r>
  </si>
  <si>
    <t xml:space="preserve">A</t>
  </si>
  <si>
    <t xml:space="preserve">この検索に1商品／推定月販計618個／商品レビュー最大1437件</t>
  </si>
  <si>
    <t xml:space="preserve">Bafup JP-amz</t>
  </si>
  <si>
    <t xml:space="preserve">https://www.amazon.co.jp/gp/help/seller/at-a-glance.html/ref=dp_merchant_link?seller=A2X35YNORZ18SB</t>
  </si>
  <si>
    <t xml:space="preserve">Bafup</t>
  </si>
  <si>
    <r>
      <rPr>
        <sz val="11"/>
        <color rgb="FF0000FF"/>
        <rFont val="Noto Sans JP"/>
        <family val="0"/>
        <charset val="1"/>
      </rPr>
      <t xml:space="preserve">1,180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</si>
  <si>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この検索に1商品／推定月販計433個／商品レビュー最大2258件</t>
  </si>
  <si>
    <t xml:space="preserve">ロックブロス</t>
  </si>
  <si>
    <t xml:space="preserve">https://www.amazon.co.jp/gp/help/seller/at-a-glance.html/ref=dp_merchant_link?seller=A11O46POEXFW30</t>
  </si>
  <si>
    <t xml:space="preserve">ROCKBROS</t>
  </si>
  <si>
    <t xml:space="preserve">Hangzhou Zhejiang 310011 CN</t>
  </si>
  <si>
    <r>
      <rPr>
        <sz val="11"/>
        <color rgb="FF0000FF"/>
        <rFont val="Noto Sans JP"/>
        <family val="0"/>
        <charset val="1"/>
      </rPr>
      <t xml:space="preserve">1,699</t>
    </r>
    <r>
      <rPr>
        <sz val="11"/>
        <color rgb="FF0000FF"/>
        <rFont val="WenQuanYi Zen Hei"/>
        <family val="2"/>
      </rPr>
      <t xml:space="preserve">円</t>
    </r>
  </si>
  <si>
    <t xml:space="preserve">この検索に2商品／推定月販計421個／商品レビュー最大2229件</t>
  </si>
  <si>
    <r>
      <rPr>
        <sz val="11"/>
        <color rgb="FF0000FF"/>
        <rFont val="Noto Sans JP"/>
        <family val="0"/>
        <charset val="1"/>
      </rPr>
      <t xml:space="preserve">AOY</t>
    </r>
    <r>
      <rPr>
        <sz val="11"/>
        <color rgb="FF0000FF"/>
        <rFont val="WenQuanYi Zen Hei"/>
        <family val="2"/>
      </rPr>
      <t xml:space="preserve">直営店</t>
    </r>
  </si>
  <si>
    <t xml:space="preserve">https://www.amazon.co.jp/gp/help/seller/at-a-glance.html/ref=dp_merchant_link?seller=A2QUCV77L8PD8L</t>
  </si>
  <si>
    <t xml:space="preserve">AOY</t>
  </si>
  <si>
    <t xml:space="preserve">朝阳市 辽宁 122400 CN</t>
  </si>
  <si>
    <r>
      <rPr>
        <sz val="11"/>
        <color rgb="FF0000FF"/>
        <rFont val="Noto Sans JP"/>
        <family val="0"/>
        <charset val="1"/>
      </rPr>
      <t xml:space="preserve">999</t>
    </r>
    <r>
      <rPr>
        <sz val="11"/>
        <color rgb="FF0000FF"/>
        <rFont val="WenQuanYi Zen Hei"/>
        <family val="2"/>
      </rPr>
      <t xml:space="preserve">〜</t>
    </r>
    <r>
      <rPr>
        <sz val="11"/>
        <color rgb="FF0000FF"/>
        <rFont val="Noto Sans JP"/>
        <family val="0"/>
        <charset val="1"/>
      </rPr>
      <t xml:space="preserve">1,680</t>
    </r>
    <r>
      <rPr>
        <sz val="11"/>
        <color rgb="FF0000FF"/>
        <rFont val="WenQuanYi Zen Hei"/>
        <family val="2"/>
      </rPr>
      <t xml:space="preserve">円</t>
    </r>
  </si>
  <si>
    <t xml:space="preserve">この検索に3商品／推定月販計312個／商品レビュー最大972件</t>
  </si>
  <si>
    <t xml:space="preserve">自由鸟</t>
  </si>
  <si>
    <t xml:space="preserve">https://www.amazon.co.jp/gp/help/seller/at-a-glance.html/ref=dp_merchant_link?seller=AGH9C6511NTEG</t>
  </si>
  <si>
    <t xml:space="preserve">ShinHye</t>
  </si>
  <si>
    <t xml:space="preserve">金华市义乌市 浙江省 322000 CN</t>
  </si>
  <si>
    <r>
      <rPr>
        <sz val="11"/>
        <color rgb="FF0000FF"/>
        <rFont val="Noto Sans JP"/>
        <family val="0"/>
        <charset val="1"/>
      </rPr>
      <t xml:space="preserve">1,599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</si>
  <si>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この検索に1商品／推定月販計304個／商品レビュー最大589件</t>
  </si>
  <si>
    <t xml:space="preserve">MayCherry Classique</t>
  </si>
  <si>
    <t xml:space="preserve">https://www.amazon.co.jp/gp/help/seller/at-a-glance.html/ref=dp_merchant_link?seller=A1406E3VTP3PVR</t>
  </si>
  <si>
    <t xml:space="preserve">MayCherry</t>
  </si>
  <si>
    <t xml:space="preserve">武汉市 湖北 430050 CN</t>
  </si>
  <si>
    <r>
      <rPr>
        <sz val="11"/>
        <color rgb="FF0000FF"/>
        <rFont val="Noto Sans JP"/>
        <family val="0"/>
        <charset val="1"/>
      </rPr>
      <t xml:space="preserve">1,580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</si>
  <si>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この検索に1商品／推定月販計242個／商品レビュー最大192件</t>
  </si>
  <si>
    <r>
      <rPr>
        <sz val="11"/>
        <color rgb="FF0000FF"/>
        <rFont val="Noto Sans JP"/>
        <family val="0"/>
        <charset val="1"/>
      </rPr>
      <t xml:space="preserve">EAXGO JP</t>
    </r>
    <r>
      <rPr>
        <sz val="11"/>
        <color rgb="FF0000FF"/>
        <rFont val="WenQuanYi Zen Hei"/>
        <family val="2"/>
      </rPr>
      <t xml:space="preserve">【公式オンラインストア】</t>
    </r>
  </si>
  <si>
    <t xml:space="preserve">https://www.amazon.co.jp/gp/help/seller/at-a-glance.html/ref=dp_merchant_link?seller=A8LJG87MP5ZV7</t>
  </si>
  <si>
    <t xml:space="preserve">EAXGO</t>
  </si>
  <si>
    <t xml:space="preserve">株洲市 湖南省 412500 CN</t>
  </si>
  <si>
    <r>
      <rPr>
        <sz val="11"/>
        <color rgb="FF0000FF"/>
        <rFont val="Noto Sans JP"/>
        <family val="0"/>
        <charset val="1"/>
      </rPr>
      <t xml:space="preserve">1,280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</si>
  <si>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この検索に1商品／推定月販計197個／商品レビュー最大368件</t>
  </si>
  <si>
    <r>
      <rPr>
        <sz val="11"/>
        <color rgb="FF0000FF"/>
        <rFont val="Noto Sans JP"/>
        <family val="0"/>
        <charset val="1"/>
      </rPr>
      <t xml:space="preserve">HORADON</t>
    </r>
    <r>
      <rPr>
        <sz val="11"/>
        <color rgb="FF0000FF"/>
        <rFont val="WenQuanYi Zen Hei"/>
        <family val="2"/>
      </rPr>
      <t xml:space="preserve">（ホラドン）</t>
    </r>
    <r>
      <rPr>
        <sz val="11"/>
        <color rgb="FF0000FF"/>
        <rFont val="Noto Sans JP"/>
        <family val="0"/>
        <charset val="1"/>
      </rPr>
      <t xml:space="preserve">Store</t>
    </r>
    <r>
      <rPr>
        <sz val="11"/>
        <color rgb="FF0000FF"/>
        <rFont val="WenQuanYi Zen Hei"/>
        <family val="2"/>
      </rPr>
      <t xml:space="preserve">【</t>
    </r>
    <r>
      <rPr>
        <sz val="11"/>
        <color rgb="FF0000FF"/>
        <rFont val="Noto Sans JP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日返金保証付き！】</t>
    </r>
  </si>
  <si>
    <t xml:space="preserve">https://www.amazon.co.jp/gp/help/seller/at-a-glance.html/ref=dp_merchant_link?seller=A18KZ1ZWLCQ9AD</t>
  </si>
  <si>
    <t xml:space="preserve">HORADON</t>
  </si>
  <si>
    <t xml:space="preserve">この検索に1商品／推定月販計162個／商品レビュー最大214件</t>
  </si>
  <si>
    <r>
      <rPr>
        <sz val="11"/>
        <color rgb="FF0000FF"/>
        <rFont val="Noto Sans JP"/>
        <family val="0"/>
        <charset val="1"/>
      </rPr>
      <t xml:space="preserve">Velaci</t>
    </r>
    <r>
      <rPr>
        <sz val="11"/>
        <color rgb="FF0000FF"/>
        <rFont val="WenQuanYi Zen Hei"/>
        <family val="2"/>
      </rPr>
      <t xml:space="preserve">【公式販売店】</t>
    </r>
  </si>
  <si>
    <t xml:space="preserve">https://www.amazon.co.jp/gp/help/seller/at-a-glance.html/ref=dp_merchant_link?seller=A2V2UM8L5TD0G2</t>
  </si>
  <si>
    <t xml:space="preserve">Velaci</t>
  </si>
  <si>
    <r>
      <rPr>
        <sz val="11"/>
        <color rgb="FF0000FF"/>
        <rFont val="Noto Sans JP"/>
        <family val="0"/>
        <charset val="1"/>
      </rPr>
      <t xml:space="preserve">999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</si>
  <si>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この検索に1商品／推定月販計153個／商品レビュー最大102件</t>
  </si>
  <si>
    <t xml:space="preserve">MOWO-japan</t>
  </si>
  <si>
    <t xml:space="preserve">https://www.amazon.co.jp/gp/help/seller/at-a-glance.html/ref=dp_merchant_link?seller=A3HCMCYLM6CWOR</t>
  </si>
  <si>
    <t xml:space="preserve">MOWO</t>
  </si>
  <si>
    <t xml:space="preserve">东莞市 广东省 523000 CN</t>
  </si>
  <si>
    <t xml:space="preserve">B</t>
  </si>
  <si>
    <t xml:space="preserve">この検索に1商品／推定月販計127個／商品レビュー最大15件</t>
  </si>
  <si>
    <r>
      <rPr>
        <sz val="11"/>
        <color rgb="FF0000FF"/>
        <rFont val="Noto Sans JP"/>
        <family val="0"/>
        <charset val="1"/>
      </rPr>
      <t xml:space="preserve">PALAME</t>
    </r>
    <r>
      <rPr>
        <sz val="11"/>
        <color rgb="FF0000FF"/>
        <rFont val="WenQuanYi Zen Hei"/>
        <family val="2"/>
      </rPr>
      <t xml:space="preserve">【公式ショップ】</t>
    </r>
  </si>
  <si>
    <t xml:space="preserve">https://www.amazon.co.jp/gp/help/seller/at-a-glance.html/ref=dp_merchant_link?seller=A1XLO99YFRJT6A</t>
  </si>
  <si>
    <t xml:space="preserve">PALAME</t>
  </si>
  <si>
    <t xml:space="preserve">广州市 广东 510900 CN</t>
  </si>
  <si>
    <r>
      <rPr>
        <sz val="11"/>
        <color rgb="FF0000FF"/>
        <rFont val="Noto Sans JP"/>
        <family val="0"/>
        <charset val="1"/>
      </rPr>
      <t xml:space="preserve">999</t>
    </r>
    <r>
      <rPr>
        <sz val="11"/>
        <color rgb="FF0000FF"/>
        <rFont val="WenQuanYi Zen Hei"/>
        <family val="2"/>
      </rPr>
      <t xml:space="preserve">〜</t>
    </r>
    <r>
      <rPr>
        <sz val="11"/>
        <color rgb="FF0000FF"/>
        <rFont val="Noto Sans JP"/>
        <family val="0"/>
        <charset val="1"/>
      </rPr>
      <t xml:space="preserve">1,580</t>
    </r>
    <r>
      <rPr>
        <sz val="11"/>
        <color rgb="FF0000FF"/>
        <rFont val="WenQuanYi Zen Hei"/>
        <family val="2"/>
      </rPr>
      <t xml:space="preserve">円</t>
    </r>
  </si>
  <si>
    <t xml:space="preserve">この検索に3商品／推定月販計115個／商品レビュー最大202件</t>
  </si>
  <si>
    <t xml:space="preserve">Qianyuanwei JP</t>
  </si>
  <si>
    <t xml:space="preserve">https://www.amazon.co.jp/gp/help/seller/at-a-glance.html/ref=dp_merchant_link?seller=A50JKETHI8XZ3</t>
  </si>
  <si>
    <t xml:space="preserve">Freeluck</t>
  </si>
  <si>
    <t xml:space="preserve">武汉市 湖北省 430299 CN</t>
  </si>
  <si>
    <r>
      <rPr>
        <sz val="11"/>
        <color rgb="FF0000FF"/>
        <rFont val="Noto Sans JP"/>
        <family val="0"/>
        <charset val="1"/>
      </rPr>
      <t xml:space="preserve">1,980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</si>
  <si>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この検索に1商品／推定月販計112個／商品レビュー最大476件</t>
  </si>
  <si>
    <t xml:space="preserve">Yihaonet</t>
  </si>
  <si>
    <t xml:space="preserve">https://www.amazon.co.jp/gp/help/seller/at-a-glance.html/ref=dp_merchant_link?seller=A1KGQAZM3YY3A1</t>
  </si>
  <si>
    <t xml:space="preserve">Seefox</t>
  </si>
  <si>
    <t xml:space="preserve">娄底市 湖南 417600 CN</t>
  </si>
  <si>
    <r>
      <rPr>
        <sz val="11"/>
        <color rgb="FF0000FF"/>
        <rFont val="Noto Sans JP"/>
        <family val="0"/>
        <charset val="1"/>
      </rPr>
      <t xml:space="preserve">1,999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</si>
  <si>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この検索に1商品／推定月販計77個／商品レビュー最大5件</t>
  </si>
  <si>
    <r>
      <rPr>
        <sz val="11"/>
        <color rgb="FF0000FF"/>
        <rFont val="Noto Sans JP"/>
        <family val="0"/>
        <charset val="1"/>
      </rPr>
      <t xml:space="preserve">SIVAN-</t>
    </r>
    <r>
      <rPr>
        <sz val="11"/>
        <color rgb="FF0000FF"/>
        <rFont val="WenQuanYi Zen Hei"/>
        <family val="2"/>
      </rPr>
      <t xml:space="preserve">専門店</t>
    </r>
  </si>
  <si>
    <t xml:space="preserve">https://www.amazon.co.jp/gp/help/seller/at-a-glance.html/ref=dp_merchant_link?seller=A3QJKVE9C4CX4L</t>
  </si>
  <si>
    <t xml:space="preserve">SIVAN</t>
  </si>
  <si>
    <r>
      <rPr>
        <sz val="11"/>
        <color rgb="FF0000FF"/>
        <rFont val="Noto Sans JP"/>
        <family val="0"/>
        <charset val="1"/>
      </rPr>
      <t xml:space="preserve">1,738</t>
    </r>
    <r>
      <rPr>
        <sz val="11"/>
        <color rgb="FF0000FF"/>
        <rFont val="WenQuanYi Zen Hei"/>
        <family val="2"/>
      </rPr>
      <t xml:space="preserve">〜</t>
    </r>
    <r>
      <rPr>
        <sz val="11"/>
        <color rgb="FF0000FF"/>
        <rFont val="Noto Sans JP"/>
        <family val="0"/>
        <charset val="1"/>
      </rPr>
      <t xml:space="preserve">2,080</t>
    </r>
    <r>
      <rPr>
        <sz val="11"/>
        <color rgb="FF0000FF"/>
        <rFont val="WenQuanYi Zen Hei"/>
        <family val="2"/>
      </rPr>
      <t xml:space="preserve">円</t>
    </r>
  </si>
  <si>
    <t xml:space="preserve">この検索に2商品／推定月販計68個／商品レビュー最大34件</t>
  </si>
  <si>
    <t xml:space="preserve">BOOMFLY</t>
  </si>
  <si>
    <t xml:space="preserve">https://www.amazon.co.jp/gp/help/seller/at-a-glance.html/ref=dp_merchant_link?seller=A1OTAS3CH02SM4</t>
  </si>
  <si>
    <t xml:space="preserve">福建省 351254 CN</t>
  </si>
  <si>
    <r>
      <rPr>
        <sz val="11"/>
        <color rgb="FF0000FF"/>
        <rFont val="Noto Sans JP"/>
        <family val="0"/>
        <charset val="1"/>
      </rPr>
      <t xml:space="preserve">980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</si>
  <si>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この検索に1商品／推定月販計65個／商品レビュー最大155件</t>
  </si>
  <si>
    <t xml:space="preserve">株式会社大醐</t>
  </si>
  <si>
    <t xml:space="preserve">https://www.amazon.co.jp/gp/help/seller/at-a-glance.html/ref=dp_merchant_link?seller=A2H4M0V1RG8BRZ</t>
  </si>
  <si>
    <t xml:space="preserve">絹屋</t>
  </si>
  <si>
    <t xml:space="preserve">名古屋市北区 愛知県 4620845 JP</t>
  </si>
  <si>
    <t xml:space="preserve">いいえ</t>
  </si>
  <si>
    <r>
      <rPr>
        <sz val="11"/>
        <color rgb="FF0000FF"/>
        <rFont val="Noto Sans JP"/>
        <family val="0"/>
        <charset val="1"/>
      </rPr>
      <t xml:space="preserve">2,970</t>
    </r>
    <r>
      <rPr>
        <sz val="11"/>
        <color rgb="FF0000FF"/>
        <rFont val="WenQuanYi Zen Hei"/>
        <family val="2"/>
      </rPr>
      <t xml:space="preserve">円</t>
    </r>
  </si>
  <si>
    <t xml:space="preserve">C</t>
  </si>
  <si>
    <t xml:space="preserve">この検索に1商品／推定月販計58個／商品レビュー最大216件</t>
  </si>
  <si>
    <r>
      <rPr>
        <sz val="11"/>
        <color rgb="FF0000FF"/>
        <rFont val="Noto Sans JP"/>
        <family val="0"/>
        <charset val="1"/>
      </rPr>
      <t xml:space="preserve">Andeor </t>
    </r>
    <r>
      <rPr>
        <sz val="11"/>
        <color rgb="FF0000FF"/>
        <rFont val="WenQuanYi Zen Hei"/>
        <family val="2"/>
      </rPr>
      <t xml:space="preserve">正規販売店</t>
    </r>
    <r>
      <rPr>
        <sz val="11"/>
        <color rgb="FF0000FF"/>
        <rFont val="Noto Sans JP"/>
        <family val="0"/>
        <charset val="1"/>
      </rPr>
      <t xml:space="preserve">[30</t>
    </r>
    <r>
      <rPr>
        <sz val="11"/>
        <color rgb="FF0000FF"/>
        <rFont val="WenQuanYi Zen Hei"/>
        <family val="2"/>
      </rPr>
      <t xml:space="preserve">日返金保証付き！</t>
    </r>
    <r>
      <rPr>
        <sz val="11"/>
        <color rgb="FF0000FF"/>
        <rFont val="Noto Sans JP"/>
        <family val="0"/>
        <charset val="1"/>
      </rPr>
      <t xml:space="preserve">]</t>
    </r>
  </si>
  <si>
    <t xml:space="preserve">https://www.amazon.co.jp/gp/help/seller/at-a-glance.html/ref=dp_merchant_link?seller=A2UVVCEYN78K6L</t>
  </si>
  <si>
    <t xml:space="preserve">吕梁市 山西省 032199 CN</t>
  </si>
  <si>
    <t xml:space="preserve">この検索に1商品／推定月販計50個／商品レビュー最大416件</t>
  </si>
  <si>
    <t xml:space="preserve">For Memory</t>
  </si>
  <si>
    <t xml:space="preserve">https://www.amazon.co.jp/gp/help/seller/at-a-glance.html/ref=dp_merchant_link?seller=A3ODJ93Y672HLF</t>
  </si>
  <si>
    <t xml:space="preserve">Formemory</t>
  </si>
  <si>
    <t xml:space="preserve">Shenzhen Guangdong 518129 CN</t>
  </si>
  <si>
    <r>
      <rPr>
        <sz val="11"/>
        <color rgb="FF0000FF"/>
        <rFont val="Noto Sans JP"/>
        <family val="0"/>
        <charset val="1"/>
      </rPr>
      <t xml:space="preserve">699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</si>
  <si>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この検索に1商品／推定月販計45個／商品レビュー最大121件</t>
  </si>
  <si>
    <t xml:space="preserve">【公式】Wamise</t>
  </si>
  <si>
    <t xml:space="preserve">https://www.amazon.co.jp/gp/help/seller/at-a-glance.html/ref=dp_merchant_link?seller=AKMZEQFSTIKOS</t>
  </si>
  <si>
    <t xml:space="preserve">Wamise</t>
  </si>
  <si>
    <t xml:space="preserve">この検索に1商品／推定月販計45個／商品レビュー最大8件</t>
  </si>
  <si>
    <t xml:space="preserve">TK-SMART</t>
  </si>
  <si>
    <t xml:space="preserve">https://www.amazon.co.jp/gp/help/seller/at-a-glance.html/ref=dp_merchant_link?seller=A50MPM9RVBVOI</t>
  </si>
  <si>
    <t xml:space="preserve">Petasonien</t>
  </si>
  <si>
    <t xml:space="preserve">Fuzhou Fujian 350000 CN</t>
  </si>
  <si>
    <r>
      <rPr>
        <sz val="11"/>
        <color rgb="FF0000FF"/>
        <rFont val="Noto Sans JP"/>
        <family val="0"/>
        <charset val="1"/>
      </rPr>
      <t xml:space="preserve">1,180</t>
    </r>
    <r>
      <rPr>
        <sz val="11"/>
        <color rgb="FF0000FF"/>
        <rFont val="WenQuanYi Zen Hei"/>
        <family val="2"/>
      </rPr>
      <t xml:space="preserve">〜</t>
    </r>
    <r>
      <rPr>
        <sz val="11"/>
        <color rgb="FF0000FF"/>
        <rFont val="Noto Sans JP"/>
        <family val="0"/>
        <charset val="1"/>
      </rPr>
      <t xml:space="preserve">1,780</t>
    </r>
    <r>
      <rPr>
        <sz val="11"/>
        <color rgb="FF0000FF"/>
        <rFont val="WenQuanYi Zen Hei"/>
        <family val="2"/>
      </rPr>
      <t xml:space="preserve">円</t>
    </r>
  </si>
  <si>
    <t xml:space="preserve">この検索に2商品／推定月販計41個／商品レビュー最大765件</t>
  </si>
  <si>
    <t xml:space="preserve">MinghuiStone</t>
  </si>
  <si>
    <t xml:space="preserve">https://www.amazon.co.jp/gp/help/seller/at-a-glance.html/ref=dp_merchant_link?seller=A1FJGMFI3V5JLL</t>
  </si>
  <si>
    <r>
      <rPr>
        <sz val="11"/>
        <color rgb="FF0000FF"/>
        <rFont val="Noto Sans JP"/>
        <family val="0"/>
        <charset val="1"/>
      </rPr>
      <t xml:space="preserve">1,380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</si>
  <si>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この検索に1商品／推定月販計36個／商品レビュー最大825件</t>
  </si>
  <si>
    <r>
      <rPr>
        <sz val="11"/>
        <color rgb="FF0000FF"/>
        <rFont val="Noto Sans JP"/>
        <family val="0"/>
        <charset val="1"/>
      </rPr>
      <t xml:space="preserve">Rusami JP</t>
    </r>
    <r>
      <rPr>
        <sz val="11"/>
        <color rgb="FF0000FF"/>
        <rFont val="WenQuanYi Zen Hei"/>
        <family val="2"/>
      </rPr>
      <t xml:space="preserve">【</t>
    </r>
    <r>
      <rPr>
        <sz val="11"/>
        <color rgb="FF0000FF"/>
        <rFont val="Noto Sans JP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日安心品質保証】</t>
    </r>
  </si>
  <si>
    <t xml:space="preserve">https://www.amazon.co.jp/gp/help/seller/at-a-glance.html/ref=dp_merchant_link?seller=AF3FLYAOOZ974</t>
  </si>
  <si>
    <t xml:space="preserve">Rusami</t>
  </si>
  <si>
    <t xml:space="preserve">东莞市 广东 523000 CN</t>
  </si>
  <si>
    <r>
      <rPr>
        <sz val="11"/>
        <color rgb="FF0000FF"/>
        <rFont val="Noto Sans JP"/>
        <family val="0"/>
        <charset val="1"/>
      </rPr>
      <t xml:space="preserve">1,680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</si>
  <si>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この検索に1商品／推定月販計36個／商品レビュー最大9件</t>
  </si>
  <si>
    <t xml:space="preserve">☆ヘアバンド 専門店 PAZOFA（パゾファ）☆</t>
  </si>
  <si>
    <t xml:space="preserve">https://www.amazon.co.jp/gp/help/seller/at-a-glance.html/ref=dp_merchant_link?seller=AK4STPK8Q5UCK</t>
  </si>
  <si>
    <t xml:space="preserve">PAZOFA</t>
  </si>
  <si>
    <t xml:space="preserve">深圳市 广东省 518000 CN</t>
  </si>
  <si>
    <r>
      <rPr>
        <sz val="11"/>
        <color rgb="FF0000FF"/>
        <rFont val="Noto Sans JP"/>
        <family val="0"/>
        <charset val="1"/>
      </rPr>
      <t xml:space="preserve">850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</si>
  <si>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この検索に1商品／推定月販計34個／商品レビュー最大498件</t>
  </si>
  <si>
    <t xml:space="preserve">OZERO</t>
  </si>
  <si>
    <t xml:space="preserve">https://www.amazon.co.jp/gp/help/seller/at-a-glance.html/ref=dp_merchant_link?seller=A2AIFQTIDETNMQ</t>
  </si>
  <si>
    <t xml:space="preserve">SHENZHENSHI GUANGDONG 518111 CN</t>
  </si>
  <si>
    <r>
      <rPr>
        <sz val="11"/>
        <color rgb="FF0000FF"/>
        <rFont val="Noto Sans JP"/>
        <family val="0"/>
        <charset val="1"/>
      </rPr>
      <t xml:space="preserve">2,160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</si>
  <si>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この検索に1商品／推定月販計32個／商品レビュー最大367件</t>
  </si>
  <si>
    <t xml:space="preserve">CRAZY SHARK FISHING TOOL</t>
  </si>
  <si>
    <t xml:space="preserve">https://www.amazon.co.jp/gp/help/seller/at-a-glance.html/ref=dp_merchant_link?seller=A1MW58RL6L8FXS</t>
  </si>
  <si>
    <t xml:space="preserve">CRAZY SHARK</t>
  </si>
  <si>
    <t xml:space="preserve">jiangsusheng 215600 CN</t>
  </si>
  <si>
    <t xml:space="preserve">この検索に1商品／推定月販計32個／商品レビュー最大61件</t>
  </si>
  <si>
    <t xml:space="preserve">Trnvco-JP</t>
  </si>
  <si>
    <t xml:space="preserve">https://www.amazon.co.jp/gp/help/seller/at-a-glance.html/ref=dp_merchant_link?seller=A31AN4TIPG634U</t>
  </si>
  <si>
    <t xml:space="preserve">Trnvco</t>
  </si>
  <si>
    <t xml:space="preserve">宁德市 柘荣县 福建省 355300 CN</t>
  </si>
  <si>
    <t xml:space="preserve">この検索に1商品／推定月販計30個／商品レビュー最大320件</t>
  </si>
  <si>
    <t xml:space="preserve">DANISH ENDURANCE JP</t>
  </si>
  <si>
    <t xml:space="preserve">https://www.amazon.co.jp/gp/help/seller/at-a-glance.html/ref=dp_merchant_link?seller=A15XAY5CWFZNC7</t>
  </si>
  <si>
    <t xml:space="preserve">DANISH ENDURANCE</t>
  </si>
  <si>
    <t xml:space="preserve">Juelsminde 7130 DK</t>
  </si>
  <si>
    <r>
      <rPr>
        <sz val="11"/>
        <color rgb="FF0000FF"/>
        <rFont val="Noto Sans JP"/>
        <family val="0"/>
        <charset val="1"/>
      </rPr>
      <t xml:space="preserve">5,280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</si>
  <si>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この検索に1商品／推定月販計17個／商品レビュー最大414件</t>
  </si>
  <si>
    <t xml:space="preserve">Shop reii's</t>
  </si>
  <si>
    <t xml:space="preserve">https://www.amazon.co.jp/gp/help/seller/at-a-glance.html/ref=dp_merchant_link?seller=A33JJFFF0DWPZN</t>
  </si>
  <si>
    <t xml:space="preserve">Liebendo</t>
  </si>
  <si>
    <t xml:space="preserve">名古屋市中区 愛知県 4600008 JP</t>
  </si>
  <si>
    <t xml:space="preserve">この検索に1商品／推定月販計2個／商品レビュー最大-件</t>
  </si>
  <si>
    <t xml:space="preserve">SOWAN</t>
  </si>
  <si>
    <t xml:space="preserve">https://www.amazon.co.jp/gp/help/seller/at-a-glance.html/ref=dp_merchant_link?seller=A28Y5IGKR4VA2E</t>
  </si>
  <si>
    <t xml:space="preserve">加古川市 兵庫県 6750332 JP</t>
  </si>
  <si>
    <r>
      <rPr>
        <sz val="11"/>
        <color rgb="FF0000FF"/>
        <rFont val="Noto Sans JP"/>
        <family val="0"/>
        <charset val="1"/>
      </rPr>
      <t xml:space="preserve">2,035</t>
    </r>
    <r>
      <rPr>
        <sz val="11"/>
        <color rgb="FF0000FF"/>
        <rFont val="WenQuanYi Zen Hei"/>
        <family val="2"/>
      </rPr>
      <t xml:space="preserve">円</t>
    </r>
  </si>
  <si>
    <t xml:space="preserve">BarryExquisiteGoods</t>
  </si>
  <si>
    <t xml:space="preserve">https://www.amazon.co.jp/gp/help/seller/at-a-glance.html/ref=dp_merchant_link?seller=AS2SM8GKY94NJ</t>
  </si>
  <si>
    <t xml:space="preserve">Taigu</t>
  </si>
  <si>
    <t xml:space="preserve">たぶん</t>
  </si>
  <si>
    <t xml:space="preserve">この検索に1商品／推定月販計0個／商品レビュー最大-件／所在地データなし→セラーページで要確認</t>
  </si>
  <si>
    <t xml:space="preserve">Kuijidianzi JP</t>
  </si>
  <si>
    <t xml:space="preserve">https://www.amazon.co.jp/gp/help/seller/at-a-glance.html/ref=dp_merchant_link?seller=AXTCIRN2YHZ49</t>
  </si>
  <si>
    <t xml:space="preserve">Sungale</t>
  </si>
  <si>
    <t xml:space="preserve">Ruiyaa</t>
  </si>
  <si>
    <t xml:space="preserve">https://www.amazon.co.jp/gp/help/seller/at-a-glance.html/ref=dp_merchant_link?seller=A3F6AJ6LP7DWJ9</t>
  </si>
  <si>
    <t xml:space="preserve">GEMAKA</t>
  </si>
  <si>
    <r>
      <rPr>
        <sz val="11"/>
        <color rgb="FF0000FF"/>
        <rFont val="Noto Sans JP"/>
        <family val="0"/>
        <charset val="1"/>
      </rPr>
      <t xml:space="preserve">599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</si>
  <si>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この検索に1商品／推定月販計0個／商品レビュー最大4件／所在地データなし→セラーページで要確認</t>
  </si>
  <si>
    <t xml:space="preserve">Pneito JP</t>
  </si>
  <si>
    <t xml:space="preserve">https://www.amazon.co.jp/gp/help/seller/at-a-glance.html/ref=dp_merchant_link?seller=A3U3I24JQ306RH</t>
  </si>
  <si>
    <t xml:space="preserve">Pneito</t>
  </si>
  <si>
    <t xml:space="preserve">この検索に1商品／推定月販計0個／商品レビュー最大117件／所在地データなし→セラーページで要確認</t>
  </si>
  <si>
    <r>
      <rPr>
        <sz val="11"/>
        <color rgb="FF0000FF"/>
        <rFont val="Noto Sans JP"/>
        <family val="0"/>
        <charset val="1"/>
      </rPr>
      <t xml:space="preserve">LAAVVA</t>
    </r>
    <r>
      <rPr>
        <sz val="11"/>
        <color rgb="FF0000FF"/>
        <rFont val="WenQuanYi Zen Hei"/>
        <family val="2"/>
      </rPr>
      <t xml:space="preserve">専門店・日本の中小企業</t>
    </r>
  </si>
  <si>
    <t xml:space="preserve">https://www.amazon.co.jp/gp/help/seller/at-a-glance.html/ref=dp_merchant_link?seller=A3W0KOEQENONIV</t>
  </si>
  <si>
    <t xml:space="preserve">LAAVVA</t>
  </si>
  <si>
    <r>
      <rPr>
        <sz val="11"/>
        <color rgb="FF0000FF"/>
        <rFont val="Noto Sans JP"/>
        <family val="0"/>
        <charset val="1"/>
      </rPr>
      <t xml:space="preserve">1,155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</si>
  <si>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この検索に1商品／推定月販計0個／商品レビュー最大30件／所在地データなし→セラーページで要確認</t>
  </si>
  <si>
    <t xml:space="preserve">LEXINZHI</t>
  </si>
  <si>
    <t xml:space="preserve">https://www.amazon.co.jp/gp/help/seller/at-a-glance.html/ref=dp_merchant_link?seller=A1EZCM6C7ZAMWC</t>
  </si>
  <si>
    <t xml:space="preserve">DELUXEFOX</t>
  </si>
  <si>
    <r>
      <rPr>
        <sz val="11"/>
        <color rgb="FF0000FF"/>
        <rFont val="Noto Sans JP"/>
        <family val="0"/>
        <charset val="1"/>
      </rPr>
      <t xml:space="preserve">679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</si>
  <si>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この検索に1商品／推定月販計0個／商品レビュー最大2件／所在地データなし→セラーページで要確認</t>
  </si>
  <si>
    <t xml:space="preserve">E-Reise</t>
  </si>
  <si>
    <t xml:space="preserve">https://www.amazon.co.jp/gp/help/seller/at-a-glance.html/ref=dp_merchant_link?seller=A17NRKXL7A8NVA</t>
  </si>
  <si>
    <r>
      <rPr>
        <sz val="11"/>
        <color rgb="FF0000FF"/>
        <rFont val="Noto Sans JP"/>
        <family val="0"/>
        <charset val="1"/>
      </rPr>
      <t xml:space="preserve">749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</si>
  <si>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この検索に1商品／推定月販計0個／商品レビュー最大27件／所在地データなし→セラーページで要確認</t>
  </si>
  <si>
    <t xml:space="preserve">Wild Scene</t>
  </si>
  <si>
    <t xml:space="preserve">https://www.amazon.co.jp/gp/help/seller/at-a-glance.html/ref=dp_merchant_link?seller=A1CXRM8486SKGE</t>
  </si>
  <si>
    <t xml:space="preserve">この検索に1商品／推定月販計0個／商品レビュー最大297件／所在地データなし→セラーページで要確認</t>
  </si>
  <si>
    <t xml:space="preserve">【公式】AWASEYY</t>
  </si>
  <si>
    <t xml:space="preserve">https://www.amazon.co.jp/gp/help/seller/at-a-glance.html/ref=dp_merchant_link?seller=A14RGXN343LE8Z</t>
  </si>
  <si>
    <t xml:space="preserve">AWASEYY</t>
  </si>
  <si>
    <r>
      <rPr>
        <sz val="11"/>
        <color rgb="FF0000FF"/>
        <rFont val="Noto Sans JP"/>
        <family val="0"/>
        <charset val="1"/>
      </rPr>
      <t xml:space="preserve">750</t>
    </r>
    <r>
      <rPr>
        <sz val="11"/>
        <color rgb="FF0000FF"/>
        <rFont val="WenQuanYi Zen Hei"/>
        <family val="2"/>
      </rPr>
      <t xml:space="preserve">円</t>
    </r>
  </si>
  <si>
    <t xml:space="preserve">この検索に1商品／推定月販計0個／商品レビュー最大543件／所在地データなし→セラーページで要確認</t>
  </si>
  <si>
    <t xml:space="preserve">ZVCXOE-JP</t>
  </si>
  <si>
    <t xml:space="preserve">https://www.amazon.co.jp/gp/help/seller/at-a-glance.html/ref=dp_merchant_link?seller=A3DI4EG5TIMDOG</t>
  </si>
  <si>
    <t xml:space="preserve">ZVCXOE</t>
  </si>
  <si>
    <t xml:space="preserve">Pingshan District</t>
  </si>
  <si>
    <t xml:space="preserve">この検索に1商品／推定月販計0個／商品レビュー最大10件</t>
  </si>
  <si>
    <t xml:space="preserve">商品名（短く）</t>
  </si>
  <si>
    <t xml:space="preserve">ASIN</t>
  </si>
  <si>
    <t xml:space="preserve">商品URL</t>
  </si>
  <si>
    <t xml:space="preserve">価格（円）</t>
  </si>
  <si>
    <r>
      <rPr>
        <b val="true"/>
        <sz val="11"/>
        <color rgb="FFFFFFFF"/>
        <rFont val="Noto Sans JP"/>
        <family val="0"/>
        <charset val="1"/>
      </rPr>
      <t xml:space="preserve">BSR</t>
    </r>
    <r>
      <rPr>
        <b val="true"/>
        <sz val="11"/>
        <color rgb="FFFFFFFF"/>
        <rFont val="WenQuanYi Zen Hei"/>
        <family val="2"/>
      </rPr>
      <t xml:space="preserve">（ランキング）</t>
    </r>
  </si>
  <si>
    <r>
      <rPr>
        <b val="true"/>
        <sz val="11"/>
        <color rgb="FFFFFFFF"/>
        <rFont val="Noto Sans JP"/>
        <family val="0"/>
        <charset val="1"/>
      </rPr>
      <t xml:space="preserve">BSR</t>
    </r>
    <r>
      <rPr>
        <b val="true"/>
        <sz val="11"/>
        <color rgb="FFFFFFFF"/>
        <rFont val="WenQuanYi Zen Hei"/>
        <family val="2"/>
      </rPr>
      <t xml:space="preserve">のカテゴリ</t>
    </r>
  </si>
  <si>
    <t xml:space="preserve">レビュー数</t>
  </si>
  <si>
    <t xml:space="preserve">星評価</t>
  </si>
  <si>
    <t xml:space="preserve">推定月販（個）</t>
  </si>
  <si>
    <t xml:space="preserve">色・サイズ数</t>
  </si>
  <si>
    <t xml:space="preserve">改良アイデア</t>
  </si>
  <si>
    <t xml:space="preserve">調査キーワード</t>
  </si>
  <si>
    <t xml:space="preserve">ライバル判定</t>
  </si>
  <si>
    <t xml:space="preserve">最終判断</t>
  </si>
  <si>
    <t xml:space="preserve">ネックウォーマー メンズ 冬 防寒 【360°極めた暖かさ・柔らかい肌触り・調節</t>
  </si>
  <si>
    <t xml:space="preserve">B0BDD4SW12</t>
  </si>
  <si>
    <t xml:space="preserve">https://www.amazon.co.jp/dp/B0BDD4SW12</t>
  </si>
  <si>
    <t xml:space="preserve">メンズネックウォーマー</t>
  </si>
  <si>
    <t xml:space="preserve">出品日 2022-09-08／自然順位：第1ページ3</t>
  </si>
  <si>
    <t xml:space="preserve">【新色追加！】ネックウォーマー ネックガード 冬 極めた暖かさ ふわふわ裏起毛 </t>
  </si>
  <si>
    <t xml:space="preserve">B08RN6418Y</t>
  </si>
  <si>
    <t xml:space="preserve">https://www.amazon.co.jp/dp/B08RN6418Y</t>
  </si>
  <si>
    <t xml:space="preserve">レディースネックウォーマー
メンズネックウォーマー</t>
  </si>
  <si>
    <t xml:space="preserve">出品日 2021-01-17／自然順位：第1ページ28</t>
  </si>
  <si>
    <r>
      <rPr>
        <sz val="11"/>
        <color rgb="FF0000FF"/>
        <rFont val="Noto Sans JP"/>
        <family val="0"/>
        <charset val="1"/>
      </rPr>
      <t xml:space="preserve">ROCKBROS </t>
    </r>
    <r>
      <rPr>
        <sz val="11"/>
        <color rgb="FF0000FF"/>
        <rFont val="WenQuanYi Zen Hei"/>
        <family val="2"/>
      </rPr>
      <t xml:space="preserve">バラクラバ ネックウォーマー 冬用 防寒 目出し帽 裏起毛 防</t>
    </r>
  </si>
  <si>
    <t xml:space="preserve">B0CKNBY5Z6</t>
  </si>
  <si>
    <t xml:space="preserve">https://www.amazon.co.jp/dp/B0CKNBY5Z6</t>
  </si>
  <si>
    <t xml:space="preserve">メンズサイクリングハット・帽子</t>
  </si>
  <si>
    <t xml:space="preserve">出品日 2023-10-08／自然順位：第1ページ17</t>
  </si>
  <si>
    <t xml:space="preserve">バラクラバ 冬用 裏起毛 防寒 防風 ネックウォーマー メガネホール 反射ロゴ </t>
  </si>
  <si>
    <t xml:space="preserve">B0FQ5QJSXJ</t>
  </si>
  <si>
    <t xml:space="preserve">https://www.amazon.co.jp/dp/B0FQ5QJSXJ</t>
  </si>
  <si>
    <t xml:space="preserve">メンズ目出し帽</t>
  </si>
  <si>
    <r>
      <rPr>
        <sz val="11"/>
        <color rgb="FF0000FF"/>
        <rFont val="WenQuanYi Zen Hei"/>
        <family val="2"/>
      </rPr>
      <t xml:space="preserve">【不満】薄い・息で濡れて冷える・首がぶかぶか・写真と違う・</t>
    </r>
    <r>
      <rPr>
        <sz val="11"/>
        <color rgb="FF0000FF"/>
        <rFont val="Noto Sans JP"/>
        <family val="0"/>
        <charset val="1"/>
      </rPr>
      <t xml:space="preserve">61cm</t>
    </r>
    <r>
      <rPr>
        <sz val="11"/>
        <color rgb="FF0000FF"/>
        <rFont val="WenQuanYi Zen Hei"/>
        <family val="2"/>
      </rPr>
      <t xml:space="preserve">表記なのに小さい。【改良】厚手の裏起毛＋口元に吸湿速乾素材、ドローコードで首元調整、実物どおりの写真と正確な寸法表</t>
    </r>
  </si>
  <si>
    <t xml:space="preserve">出品日 2025-09-26／自然順位：第1ページ25</t>
  </si>
  <si>
    <t xml:space="preserve">バラクラバ ネックウォーマー 防寒 冬用 爆熱零下保温 極厚裏起毛 帽子 目出し</t>
  </si>
  <si>
    <t xml:space="preserve">B0FT285DG9</t>
  </si>
  <si>
    <t xml:space="preserve">https://www.amazon.co.jp/dp/B0FT285DG9</t>
  </si>
  <si>
    <r>
      <rPr>
        <sz val="11"/>
        <color rgb="FF0000FF"/>
        <rFont val="WenQuanYi Zen Hei"/>
        <family val="2"/>
      </rPr>
      <t xml:space="preserve">【不満】首の丈が短い・フードが小さく帽子の上から被れない・髪がつぶれる・糸くず</t>
    </r>
    <r>
      <rPr>
        <sz val="11"/>
        <color rgb="FF0000FF"/>
        <rFont val="Noto Sans JP"/>
        <family val="0"/>
        <charset val="1"/>
      </rPr>
      <t xml:space="preserve">/</t>
    </r>
    <r>
      <rPr>
        <sz val="11"/>
        <color rgb="FF0000FF"/>
        <rFont val="WenQuanYi Zen Hei"/>
        <family val="2"/>
      </rPr>
      <t xml:space="preserve">ゴミ</t>
    </r>
    <r>
      <rPr>
        <sz val="11"/>
        <color rgb="FF0000FF"/>
        <rFont val="Noto Sans JP"/>
        <family val="0"/>
        <charset val="1"/>
      </rPr>
      <t xml:space="preserve">/</t>
    </r>
    <r>
      <rPr>
        <sz val="11"/>
        <color rgb="FF0000FF"/>
        <rFont val="WenQuanYi Zen Hei"/>
        <family val="2"/>
      </rPr>
      <t xml:space="preserve">圧縮シワ（検品不足）。【改良】首の丈を長く、フードにゆとり、検品とたたみ梱包</t>
    </r>
  </si>
  <si>
    <t xml:space="preserve">出品日 2025-09-29／自然順位：第1ページ6</t>
  </si>
  <si>
    <t xml:space="preserve">ネックウォーマー メンズ かつてない着け心地 裏ボア 小顔に見える</t>
  </si>
  <si>
    <t xml:space="preserve">B0BJV9C924</t>
  </si>
  <si>
    <t xml:space="preserve">https://www.amazon.co.jp/dp/B0BJV9C924</t>
  </si>
  <si>
    <t xml:space="preserve">出品日 2022-11-04／自然順位：第1ページ2</t>
  </si>
  <si>
    <t xml:space="preserve">ネックウォーマー メンズ レディース 防寒 防風 スキー 裏起毛 保温 暖かい </t>
  </si>
  <si>
    <t xml:space="preserve">B0CHRB667G</t>
  </si>
  <si>
    <t xml:space="preserve">https://www.amazon.co.jp/dp/B0CHRB667G</t>
  </si>
  <si>
    <t xml:space="preserve">出品日 2023-09-19／自然順位：第1ページ5</t>
  </si>
  <si>
    <t xml:space="preserve">ネックウォーマー メンズ フェイスカバー 冬用 【裏起毛・軽量約60g・コンパク</t>
  </si>
  <si>
    <t xml:space="preserve">B0CJC82DH8</t>
  </si>
  <si>
    <t xml:space="preserve">https://www.amazon.co.jp/dp/B0CJC82DH8</t>
  </si>
  <si>
    <t xml:space="preserve">出品日 2023-10-10／自然順位：第1ページ24</t>
  </si>
  <si>
    <t xml:space="preserve">ネックウォーマー レディース 【耳掛け付き・息苦しくない・圧迫ゼロ】 2WAY防</t>
  </si>
  <si>
    <t xml:space="preserve">B0FQJ75C6M</t>
  </si>
  <si>
    <t xml:space="preserve">https://www.amazon.co.jp/dp/B0FQJ75C6M</t>
  </si>
  <si>
    <t xml:space="preserve">レディースネックウォーマー</t>
  </si>
  <si>
    <t xml:space="preserve">出品日 2025-09-19／自然順位：第1ページ8</t>
  </si>
  <si>
    <t xml:space="preserve">ネックウォーマー レディース 【ふわふわ裏起毛】冬 防寒ネックウォーマー 防風防</t>
  </si>
  <si>
    <t xml:space="preserve">B0HHGZX6H9</t>
  </si>
  <si>
    <t xml:space="preserve">https://www.amazon.co.jp/dp/B0HHGZX6H9</t>
  </si>
  <si>
    <t xml:space="preserve">出品日 2026-09-12／自然順位：第1ページ4</t>
  </si>
  <si>
    <t xml:space="preserve">ネックウォーマー メンズ レディース ネックガード 防風防寒 秋冬 極めた暖かさ</t>
  </si>
  <si>
    <t xml:space="preserve">B0CPFDMHB9</t>
  </si>
  <si>
    <t xml:space="preserve">https://www.amazon.co.jp/dp/B0CPFDMHB9</t>
  </si>
  <si>
    <t xml:space="preserve">【不満】伸びず着脱しにくい・小さめ・鼻まで上げると息苦しい・ヘルメットに入らない。【改良】口元を立体＋通気メッシュ、伸縮素材でゆとり、頭部は薄手でヘルメット対応</t>
  </si>
  <si>
    <t xml:space="preserve">出品日 2023-12-15／広告順位：第1ページ5</t>
  </si>
  <si>
    <t xml:space="preserve">ネックウォーマー メンズ 冬 【360°極めた暖かさ・ふわふわ蓄熱裏起毛・柔らか</t>
  </si>
  <si>
    <t xml:space="preserve">B0FPQNNNHM</t>
  </si>
  <si>
    <t xml:space="preserve">https://www.amazon.co.jp/dp/B0FPQNNNHM</t>
  </si>
  <si>
    <t xml:space="preserve">出品日 2025-09-18／自然順位：第1ページ1</t>
  </si>
  <si>
    <t xml:space="preserve">ネックウォーマー メンズ 防寒 【頭から首元まで360°あったか】 フードウォー</t>
  </si>
  <si>
    <t xml:space="preserve">B0DJNHLYNJ</t>
  </si>
  <si>
    <t xml:space="preserve">https://www.amazon.co.jp/dp/B0DJNHLYNJ</t>
  </si>
  <si>
    <t xml:space="preserve">出品日 2024-10-16／自然順位：第1ページ37</t>
  </si>
  <si>
    <t xml:space="preserve">ネックウォーマー メンズ レディース 秋冬用 防寒防風 360°極めた暖かさ 厚</t>
  </si>
  <si>
    <t xml:space="preserve">B0FSL3S5XZ</t>
  </si>
  <si>
    <t xml:space="preserve">https://www.amazon.co.jp/dp/B0FSL3S5XZ</t>
  </si>
  <si>
    <t xml:space="preserve">出品日 2025-10-24／自然順位：第1ページ30</t>
  </si>
  <si>
    <t xml:space="preserve">ネックウォーマー 防寒 冬用 メンズ レディース ニット 裏起毛 伸縮性 柔らか</t>
  </si>
  <si>
    <t xml:space="preserve">B0FQC3G5CZ</t>
  </si>
  <si>
    <t xml:space="preserve">https://www.amazon.co.jp/dp/B0FQC3G5CZ</t>
  </si>
  <si>
    <t xml:space="preserve">出品日 2025-10-04／自然順位：第1ページ12</t>
  </si>
  <si>
    <t xml:space="preserve">ネックウォーマー レディース メンズ 【防寒対策・柔らかふわふわ裏起毛素材 保温</t>
  </si>
  <si>
    <t xml:space="preserve">B0FRZYMFJH</t>
  </si>
  <si>
    <t xml:space="preserve">https://www.amazon.co.jp/dp/B0FRZYMFJH</t>
  </si>
  <si>
    <t xml:space="preserve">出品日 2025-09-29／自然順位：第1ページ9</t>
  </si>
  <si>
    <t xml:space="preserve">【自転車選手が愛用】 ネックウォーマー メンズ 冬 【極暖38℃恒温・高機能断熱</t>
  </si>
  <si>
    <t xml:space="preserve">B0DGKRMRT2</t>
  </si>
  <si>
    <t xml:space="preserve">https://www.amazon.co.jp/dp/B0DGKRMRT2</t>
  </si>
  <si>
    <t xml:space="preserve">出品日 2024-09-10／自然順位：第1ページ46</t>
  </si>
  <si>
    <t xml:space="preserve">順位</t>
  </si>
  <si>
    <r>
      <rPr>
        <sz val="11"/>
        <color rgb="FF0000FF"/>
        <rFont val="Noto Sans JP"/>
        <family val="0"/>
        <charset val="1"/>
      </rPr>
      <t xml:space="preserve">[PALAME] </t>
    </r>
    <r>
      <rPr>
        <sz val="11"/>
        <color rgb="FF0000FF"/>
        <rFont val="WenQuanYi Zen Hei"/>
        <family val="2"/>
      </rPr>
      <t xml:space="preserve">ネックウォーマー メンズ 冬 【</t>
    </r>
    <r>
      <rPr>
        <sz val="11"/>
        <color rgb="FF0000FF"/>
        <rFont val="Noto Sans JP"/>
        <family val="0"/>
        <charset val="1"/>
      </rPr>
      <t xml:space="preserve">360°</t>
    </r>
    <r>
      <rPr>
        <sz val="11"/>
        <color rgb="FF0000FF"/>
        <rFont val="WenQuanYi Zen Hei"/>
        <family val="2"/>
      </rPr>
      <t xml:space="preserve">極めた暖かさ・ふわふ</t>
    </r>
  </si>
  <si>
    <t xml:space="preserve">自然順位1</t>
  </si>
  <si>
    <r>
      <rPr>
        <sz val="11"/>
        <color rgb="FF0000FF"/>
        <rFont val="Noto Sans JP"/>
        <family val="0"/>
        <charset val="1"/>
      </rPr>
      <t xml:space="preserve">[AOY] </t>
    </r>
    <r>
      <rPr>
        <sz val="11"/>
        <color rgb="FF0000FF"/>
        <rFont val="WenQuanYi Zen Hei"/>
        <family val="2"/>
      </rPr>
      <t xml:space="preserve">ネックウォーマー メンズ かつてない着け心地 裏ボア 小顔に</t>
    </r>
  </si>
  <si>
    <t xml:space="preserve">自然順位2</t>
  </si>
  <si>
    <r>
      <rPr>
        <sz val="11"/>
        <color rgb="FF0000FF"/>
        <rFont val="Noto Sans JP"/>
        <family val="0"/>
        <charset val="1"/>
      </rPr>
      <t xml:space="preserve">[Andeor] </t>
    </r>
    <r>
      <rPr>
        <sz val="11"/>
        <color rgb="FF0000FF"/>
        <rFont val="WenQuanYi Zen Hei"/>
        <family val="2"/>
      </rPr>
      <t xml:space="preserve">ネックウォーマー メンズ 冬 防寒 【</t>
    </r>
    <r>
      <rPr>
        <sz val="11"/>
        <color rgb="FF0000FF"/>
        <rFont val="Noto Sans JP"/>
        <family val="0"/>
        <charset val="1"/>
      </rPr>
      <t xml:space="preserve">360°</t>
    </r>
    <r>
      <rPr>
        <sz val="11"/>
        <color rgb="FF0000FF"/>
        <rFont val="WenQuanYi Zen Hei"/>
        <family val="2"/>
      </rPr>
      <t xml:space="preserve">極めた暖かさ・</t>
    </r>
  </si>
  <si>
    <t xml:space="preserve">自然順位3</t>
  </si>
  <si>
    <r>
      <rPr>
        <sz val="11"/>
        <color rgb="FF0000FF"/>
        <rFont val="Noto Sans JP"/>
        <family val="0"/>
        <charset val="1"/>
      </rPr>
      <t xml:space="preserve">[MOWO] </t>
    </r>
    <r>
      <rPr>
        <sz val="11"/>
        <color rgb="FF0000FF"/>
        <rFont val="WenQuanYi Zen Hei"/>
        <family val="2"/>
      </rPr>
      <t xml:space="preserve">ネックウォーマー レディース 【ふわふわ裏起毛】冬 防寒ネッ</t>
    </r>
  </si>
  <si>
    <t xml:space="preserve">自然順位4</t>
  </si>
  <si>
    <r>
      <rPr>
        <sz val="11"/>
        <color rgb="FF0000FF"/>
        <rFont val="Noto Sans JP"/>
        <family val="0"/>
        <charset val="1"/>
      </rPr>
      <t xml:space="preserve">[EAXGO] </t>
    </r>
    <r>
      <rPr>
        <sz val="11"/>
        <color rgb="FF0000FF"/>
        <rFont val="WenQuanYi Zen Hei"/>
        <family val="2"/>
      </rPr>
      <t xml:space="preserve">ネックウォーマー メンズ レディース 防寒 防風 スキー 裏</t>
    </r>
  </si>
  <si>
    <t xml:space="preserve">自然順位5</t>
  </si>
  <si>
    <r>
      <rPr>
        <sz val="11"/>
        <color rgb="FF0000FF"/>
        <rFont val="Noto Sans JP"/>
        <family val="0"/>
        <charset val="1"/>
      </rPr>
      <t xml:space="preserve">[MayCherry] </t>
    </r>
    <r>
      <rPr>
        <sz val="11"/>
        <color rgb="FF0000FF"/>
        <rFont val="WenQuanYi Zen Hei"/>
        <family val="2"/>
      </rPr>
      <t xml:space="preserve">バラクラバ ネックウォーマー 防寒 冬用 爆熱零下保温 極厚</t>
    </r>
  </si>
  <si>
    <t xml:space="preserve">自然順位6</t>
  </si>
  <si>
    <t xml:space="preserve">B0DD7C8WX5</t>
  </si>
  <si>
    <r>
      <rPr>
        <sz val="11"/>
        <color rgb="FF0000FF"/>
        <rFont val="Noto Sans JP"/>
        <family val="0"/>
        <charset val="1"/>
      </rPr>
      <t xml:space="preserve">[Petasonien] </t>
    </r>
    <r>
      <rPr>
        <sz val="11"/>
        <color rgb="FF0000FF"/>
        <rFont val="WenQuanYi Zen Hei"/>
        <family val="2"/>
      </rPr>
      <t xml:space="preserve">ネックウォーマー メンズ レディース 冬 防寒防風 暖かい </t>
    </r>
  </si>
  <si>
    <t xml:space="preserve">自然順位7</t>
  </si>
  <si>
    <r>
      <rPr>
        <sz val="11"/>
        <color rgb="FF0000FF"/>
        <rFont val="Noto Sans JP"/>
        <family val="0"/>
        <charset val="1"/>
      </rPr>
      <t xml:space="preserve">[Velaci] </t>
    </r>
    <r>
      <rPr>
        <sz val="11"/>
        <color rgb="FF0000FF"/>
        <rFont val="WenQuanYi Zen Hei"/>
        <family val="2"/>
      </rPr>
      <t xml:space="preserve">ネックウォーマー レディース 【耳掛け付き・息苦しくない・圧</t>
    </r>
  </si>
  <si>
    <t xml:space="preserve">自然順位8</t>
  </si>
  <si>
    <r>
      <rPr>
        <sz val="11"/>
        <color rgb="FF0000FF"/>
        <rFont val="Noto Sans JP"/>
        <family val="0"/>
        <charset val="1"/>
      </rPr>
      <t xml:space="preserve">[SIVAN] </t>
    </r>
    <r>
      <rPr>
        <sz val="11"/>
        <color rgb="FF0000FF"/>
        <rFont val="WenQuanYi Zen Hei"/>
        <family val="2"/>
      </rPr>
      <t xml:space="preserve">ネックウォーマー レディース メンズ 【防寒対策・柔らかふわ</t>
    </r>
  </si>
  <si>
    <t xml:space="preserve">自然順位9</t>
  </si>
  <si>
    <t xml:space="preserve">B0HKS9LRY4</t>
  </si>
  <si>
    <r>
      <rPr>
        <sz val="11"/>
        <color rgb="FF0000FF"/>
        <rFont val="Noto Sans JP"/>
        <family val="0"/>
        <charset val="1"/>
      </rPr>
      <t xml:space="preserve">[Taigu] </t>
    </r>
    <r>
      <rPr>
        <sz val="11"/>
        <color rgb="FF0000FF"/>
        <rFont val="WenQuanYi Zen Hei"/>
        <family val="2"/>
      </rPr>
      <t xml:space="preserve">ネックウォーマー ボタン付き レディース メンズ 防寒 秋冬</t>
    </r>
  </si>
  <si>
    <t xml:space="preserve">自然順位10</t>
  </si>
  <si>
    <t xml:space="preserve">検索結果数</t>
  </si>
  <si>
    <t xml:space="preserve">入力件数</t>
  </si>
  <si>
    <t xml:space="preserve">平均月販</t>
  </si>
  <si>
    <t xml:space="preserve">合計月販</t>
  </si>
  <si>
    <t xml:space="preserve">平均価格</t>
  </si>
  <si>
    <t xml:space="preserve">強者数（レビュー1000+）</t>
  </si>
  <si>
    <t xml:space="preserve">新規枠（レビュー100未満）</t>
  </si>
  <si>
    <t xml:space="preserve">合格数（5項目中）</t>
  </si>
  <si>
    <t xml:space="preserve">判定</t>
  </si>
  <si>
    <t xml:space="preserve">需要</t>
  </si>
  <si>
    <t xml:space="preserve">強者</t>
  </si>
  <si>
    <t xml:space="preserve">新規枠</t>
  </si>
  <si>
    <t xml:space="preserve">価格</t>
  </si>
  <si>
    <t xml:space="preserve">中国セラー率</t>
  </si>
  <si>
    <r>
      <rPr>
        <sz val="11"/>
        <color rgb="FF0000FF"/>
        <rFont val="Noto Sans JP"/>
        <family val="0"/>
        <charset val="1"/>
      </rPr>
      <t xml:space="preserve">SellerSprite</t>
    </r>
    <r>
      <rPr>
        <sz val="11"/>
        <color rgb="FF0000FF"/>
        <rFont val="WenQuanYi Zen Hei"/>
        <family val="2"/>
      </rPr>
      <t xml:space="preserve">出力</t>
    </r>
    <r>
      <rPr>
        <sz val="11"/>
        <color rgb="FF0000FF"/>
        <rFont val="Noto Sans JP"/>
        <family val="0"/>
        <charset val="1"/>
      </rPr>
      <t xml:space="preserve">(10/12)</t>
    </r>
    <r>
      <rPr>
        <sz val="11"/>
        <color rgb="FF0000FF"/>
        <rFont val="WenQuanYi Zen Hei"/>
        <family val="2"/>
      </rPr>
      <t xml:space="preserve">より。検索結果の約</t>
    </r>
    <r>
      <rPr>
        <sz val="11"/>
        <color rgb="FF0000FF"/>
        <rFont val="Noto Sans JP"/>
        <family val="0"/>
        <charset val="1"/>
      </rPr>
      <t xml:space="preserve">9</t>
    </r>
    <r>
      <rPr>
        <sz val="11"/>
        <color rgb="FF0000FF"/>
        <rFont val="WenQuanYi Zen Hei"/>
        <family val="2"/>
      </rPr>
      <t xml:space="preserve">割が中国セラー</t>
    </r>
  </si>
  <si>
    <t xml:space="preserve">商品名</t>
  </si>
  <si>
    <t xml:space="preserve">販売価格（円）</t>
  </si>
  <si>
    <t xml:space="preserve">仕入れ単価（元）</t>
  </si>
  <si>
    <t xml:space="preserve">中国国内送料（元/個）</t>
  </si>
  <si>
    <t xml:space="preserve">国際送料（円/個）</t>
  </si>
  <si>
    <r>
      <rPr>
        <b val="true"/>
        <sz val="11"/>
        <color rgb="FFFFFFFF"/>
        <rFont val="Noto Sans JP"/>
        <family val="0"/>
        <charset val="1"/>
      </rPr>
      <t xml:space="preserve">OEM</t>
    </r>
    <r>
      <rPr>
        <b val="true"/>
        <sz val="11"/>
        <color rgb="FFFFFFFF"/>
        <rFont val="WenQuanYi Zen Hei"/>
        <family val="2"/>
      </rPr>
      <t xml:space="preserve">費用（円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</si>
  <si>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t xml:space="preserve">仕入れ原価（円/個）</t>
  </si>
  <si>
    <t xml:space="preserve">関税・消費税（円/個）</t>
  </si>
  <si>
    <r>
      <rPr>
        <b val="true"/>
        <sz val="11"/>
        <color rgb="FFFFFFFF"/>
        <rFont val="Noto Sans JP"/>
        <family val="0"/>
        <charset val="1"/>
      </rPr>
      <t xml:space="preserve">Amazon</t>
    </r>
    <r>
      <rPr>
        <b val="true"/>
        <sz val="11"/>
        <color rgb="FFFFFFFF"/>
        <rFont val="WenQuanYi Zen Hei"/>
        <family val="2"/>
      </rPr>
      <t xml:space="preserve">手数料（円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個）</t>
    </r>
  </si>
  <si>
    <r>
      <rPr>
        <b val="true"/>
        <sz val="11"/>
        <color rgb="FFFFFFFF"/>
        <rFont val="Noto Sans JP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個あたり利益（円）</t>
    </r>
  </si>
  <si>
    <t xml:space="preserve">利益率</t>
  </si>
  <si>
    <t xml:space="preserve">ROI</t>
  </si>
  <si>
    <t xml:space="preserve">目標達成に必要な月販（個）</t>
  </si>
  <si>
    <t xml:space="preserve">予算で仕入れられる数（個）</t>
  </si>
  <si>
    <t xml:space="preserve">最低ロット（個）</t>
  </si>
  <si>
    <t xml:space="preserve">（例）裏起毛ネックウォーマー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</si>
</sst>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0.0%"/>
    <numFmt numFmtId="168" formatCode="0"/>
    <numFmt numFmtId="169" formatCode="0%"/>
    <numFmt numFmtId="170" formatCode="yyyy/mm/dd"/>
    <numFmt numFmtId="171" formatCode="#,##0.0"/>
    <numFmt numFmtId="172" formatCode="#,##0;\-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0"/>
      <charset val="1"/>
    </font>
    <font>
      <b val="true"/>
      <sz val="14"/>
      <name val="WenQuanYi Zen Hei"/>
      <family val="2"/>
    </font>
    <font>
      <sz val="11"/>
      <name val="Noto Sans JP"/>
      <family val="0"/>
      <charset val="1"/>
    </font>
    <font>
      <b val="true"/>
      <sz val="11"/>
      <name val="WenQuanYi Zen Hei"/>
      <family val="2"/>
      <charset val="1"/>
    </font>
    <font>
      <sz val="11"/>
      <name val="WenQuanYi Zen Hei"/>
      <family val="2"/>
      <charset val="1"/>
    </font>
    <font>
      <b val="true"/>
      <sz val="11"/>
      <color rgb="FFFFFFFF"/>
      <name val="WenQuanYi Zen Hei"/>
      <family val="2"/>
      <charset val="1"/>
    </font>
    <font>
      <sz val="11"/>
      <color rgb="FF0000FF"/>
      <name val="Noto Sans JP"/>
      <family val="0"/>
      <charset val="1"/>
    </font>
    <font>
      <sz val="11"/>
      <color rgb="FF595959"/>
      <name val="WenQuanYi Zen Hei"/>
      <family val="2"/>
      <charset val="1"/>
    </font>
    <font>
      <sz val="11"/>
      <name val="WenQuanYi Zen Hei"/>
      <family val="2"/>
    </font>
    <font>
      <sz val="11"/>
      <color rgb="FF595959"/>
      <name val="Noto Sans JP"/>
      <family val="0"/>
      <charset val="1"/>
    </font>
    <font>
      <sz val="11"/>
      <color rgb="FF595959"/>
      <name val="WenQuanYi Zen Hei"/>
      <family val="2"/>
    </font>
    <font>
      <b val="true"/>
      <sz val="11"/>
      <color rgb="FFFFFFFF"/>
      <name val="Noto Sans JP"/>
      <family val="0"/>
      <charset val="1"/>
    </font>
    <font>
      <sz val="11"/>
      <color rgb="FF000000"/>
      <name val="Noto Sans JP"/>
      <family val="0"/>
      <charset val="1"/>
    </font>
    <font>
      <sz val="11"/>
      <color rgb="FF0000FF"/>
      <name val="WenQuanYi Zen Hei"/>
      <family val="2"/>
      <charset val="1"/>
    </font>
    <font>
      <sz val="11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1"/>
      <color rgb="FFFFFFFF"/>
      <name val="WenQuanYi Zen Hei"/>
      <family val="2"/>
    </font>
    <font>
      <sz val="11"/>
      <color rgb="FF000000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8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/>
    </row>
    <row r="3" customFormat="false" ht="15" hidden="false" customHeight="true" outlineLevel="0" collapsed="false">
      <c r="B3" s="4" t="s">
        <v>1</v>
      </c>
    </row>
    <row r="4" customFormat="false" ht="15" hidden="false" customHeight="true" outlineLevel="0" collapsed="false">
      <c r="B4" s="5" t="s">
        <v>2</v>
      </c>
    </row>
    <row r="5" customFormat="false" ht="15" hidden="false" customHeight="true" outlineLevel="0" collapsed="false">
      <c r="B5" s="5" t="s">
        <v>3</v>
      </c>
    </row>
    <row r="6" customFormat="false" ht="15" hidden="false" customHeight="true" outlineLevel="0" collapsed="false">
      <c r="B6" s="5" t="s">
        <v>4</v>
      </c>
    </row>
    <row r="7" customFormat="false" ht="15" hidden="false" customHeight="true" outlineLevel="0" collapsed="false">
      <c r="B7" s="5" t="s">
        <v>5</v>
      </c>
    </row>
    <row r="8" customFormat="false" ht="15" hidden="false" customHeight="true" outlineLevel="0" collapsed="false">
      <c r="B8" s="5" t="s">
        <v>6</v>
      </c>
    </row>
    <row r="9" customFormat="false" ht="15" hidden="false" customHeight="true" outlineLevel="0" collapsed="false">
      <c r="B9" s="3"/>
    </row>
    <row r="10" customFormat="false" ht="15" hidden="false" customHeight="true" outlineLevel="0" collapsed="false">
      <c r="B10" s="4" t="s">
        <v>7</v>
      </c>
    </row>
    <row r="11" customFormat="false" ht="15" hidden="false" customHeight="true" outlineLevel="0" collapsed="false">
      <c r="B11" s="5" t="s">
        <v>8</v>
      </c>
    </row>
    <row r="12" customFormat="false" ht="15" hidden="false" customHeight="true" outlineLevel="0" collapsed="false">
      <c r="B12" s="5" t="s">
        <v>9</v>
      </c>
    </row>
    <row r="13" customFormat="false" ht="15" hidden="false" customHeight="true" outlineLevel="0" collapsed="false">
      <c r="B13" s="5" t="s">
        <v>10</v>
      </c>
    </row>
    <row r="14" customFormat="false" ht="15" hidden="false" customHeight="true" outlineLevel="0" collapsed="false">
      <c r="B14" s="3"/>
    </row>
    <row r="15" customFormat="false" ht="15" hidden="false" customHeight="true" outlineLevel="0" collapsed="false">
      <c r="B15" s="4" t="s">
        <v>11</v>
      </c>
    </row>
    <row r="16" customFormat="false" ht="15" hidden="false" customHeight="true" outlineLevel="0" collapsed="false">
      <c r="B16" s="5" t="s">
        <v>12</v>
      </c>
    </row>
    <row r="17" customFormat="false" ht="15" hidden="false" customHeight="true" outlineLevel="0" collapsed="false">
      <c r="B17" s="5" t="s">
        <v>13</v>
      </c>
    </row>
    <row r="18" customFormat="false" ht="15" hidden="false" customHeight="true" outlineLevel="0" collapsed="false">
      <c r="B18" s="3"/>
    </row>
    <row r="19" customFormat="false" ht="15" hidden="false" customHeight="true" outlineLevel="0" collapsed="false">
      <c r="B19" s="4" t="s">
        <v>14</v>
      </c>
    </row>
    <row r="20" customFormat="false" ht="15" hidden="false" customHeight="true" outlineLevel="0" collapsed="false">
      <c r="B20" s="5" t="s">
        <v>15</v>
      </c>
    </row>
    <row r="21" customFormat="false" ht="15" hidden="false" customHeight="true" outlineLevel="0" collapsed="false">
      <c r="B21" s="5" t="s">
        <v>16</v>
      </c>
    </row>
    <row r="22" customFormat="false" ht="15" hidden="false" customHeight="true" outlineLevel="0" collapsed="false">
      <c r="B22" s="5" t="s">
        <v>17</v>
      </c>
    </row>
    <row r="23" customFormat="false" ht="15" hidden="false" customHeight="true" outlineLevel="0" collapsed="false">
      <c r="B2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5" hidden="false" customHeight="true" outlineLevel="0" collapsed="false">
      <c r="A1" s="6" t="s">
        <v>19</v>
      </c>
      <c r="B1" s="6" t="s">
        <v>20</v>
      </c>
      <c r="C1" s="6" t="s">
        <v>21</v>
      </c>
    </row>
    <row r="2" customFormat="false" ht="15" hidden="false" customHeight="true" outlineLevel="0" collapsed="false">
      <c r="A2" s="7" t="s">
        <v>22</v>
      </c>
    </row>
    <row r="3" customFormat="false" ht="15" hidden="false" customHeight="true" outlineLevel="0" collapsed="false">
      <c r="A3" s="8" t="s">
        <v>23</v>
      </c>
      <c r="B3" s="9" t="n">
        <v>50000</v>
      </c>
      <c r="C3" s="10" t="s">
        <v>24</v>
      </c>
    </row>
    <row r="4" customFormat="false" ht="15" hidden="false" customHeight="true" outlineLevel="0" collapsed="false">
      <c r="A4" s="8" t="s">
        <v>25</v>
      </c>
      <c r="B4" s="9" t="n">
        <v>50000</v>
      </c>
      <c r="C4" s="10" t="s">
        <v>26</v>
      </c>
    </row>
    <row r="5" customFormat="false" ht="15" hidden="false" customHeight="true" outlineLevel="0" collapsed="false">
      <c r="A5" s="7" t="s">
        <v>27</v>
      </c>
    </row>
    <row r="6" customFormat="false" ht="15" hidden="false" customHeight="true" outlineLevel="0" collapsed="false">
      <c r="A6" s="8" t="s">
        <v>28</v>
      </c>
      <c r="B6" s="11" t="n">
        <v>21</v>
      </c>
      <c r="C6" s="10" t="s">
        <v>29</v>
      </c>
    </row>
    <row r="7" customFormat="false" ht="15" hidden="false" customHeight="true" outlineLevel="0" collapsed="false">
      <c r="A7" s="8" t="s">
        <v>30</v>
      </c>
      <c r="B7" s="12" t="n">
        <v>0.05</v>
      </c>
      <c r="C7" s="10" t="s">
        <v>31</v>
      </c>
    </row>
    <row r="8" customFormat="false" ht="15" hidden="false" customHeight="true" outlineLevel="0" collapsed="false">
      <c r="A8" s="8" t="s">
        <v>32</v>
      </c>
      <c r="B8" s="12" t="n">
        <v>0.1</v>
      </c>
      <c r="C8" s="10" t="s">
        <v>33</v>
      </c>
    </row>
    <row r="9" customFormat="false" ht="15" hidden="false" customHeight="true" outlineLevel="0" collapsed="false">
      <c r="A9" s="8" t="s">
        <v>34</v>
      </c>
      <c r="B9" s="12" t="n">
        <v>0.1</v>
      </c>
      <c r="C9" s="10" t="s">
        <v>35</v>
      </c>
    </row>
    <row r="10" customFormat="false" ht="15" hidden="false" customHeight="true" outlineLevel="0" collapsed="false">
      <c r="A10" s="13" t="s">
        <v>36</v>
      </c>
      <c r="B10" s="12" t="n">
        <v>0.08</v>
      </c>
      <c r="C10" s="10" t="s">
        <v>37</v>
      </c>
    </row>
    <row r="11" customFormat="false" ht="15" hidden="false" customHeight="true" outlineLevel="0" collapsed="false">
      <c r="A11" s="13" t="s">
        <v>38</v>
      </c>
      <c r="B11" s="9" t="n">
        <v>320</v>
      </c>
      <c r="C11" s="14" t="s">
        <v>39</v>
      </c>
    </row>
    <row r="12" customFormat="false" ht="15" hidden="false" customHeight="true" outlineLevel="0" collapsed="false">
      <c r="A12" s="8" t="s">
        <v>40</v>
      </c>
      <c r="B12" s="9" t="n">
        <v>50</v>
      </c>
      <c r="C12" s="10" t="s">
        <v>41</v>
      </c>
    </row>
    <row r="13" customFormat="false" ht="15" hidden="false" customHeight="true" outlineLevel="0" collapsed="false">
      <c r="A13" s="7" t="s">
        <v>42</v>
      </c>
    </row>
    <row r="14" customFormat="false" ht="15" hidden="false" customHeight="true" outlineLevel="0" collapsed="false">
      <c r="A14" s="8" t="s">
        <v>43</v>
      </c>
      <c r="B14" s="9" t="n">
        <v>100</v>
      </c>
      <c r="C14" s="10" t="s">
        <v>44</v>
      </c>
    </row>
    <row r="15" customFormat="false" ht="15" hidden="false" customHeight="true" outlineLevel="0" collapsed="false">
      <c r="A15" s="8" t="s">
        <v>45</v>
      </c>
      <c r="B15" s="15" t="n">
        <v>3</v>
      </c>
      <c r="C15" s="10" t="s">
        <v>46</v>
      </c>
    </row>
    <row r="16" customFormat="false" ht="15" hidden="false" customHeight="true" outlineLevel="0" collapsed="false">
      <c r="A16" s="8" t="s">
        <v>47</v>
      </c>
      <c r="B16" s="15" t="n">
        <v>3</v>
      </c>
      <c r="C16" s="10" t="s">
        <v>48</v>
      </c>
    </row>
    <row r="17" customFormat="false" ht="15" hidden="false" customHeight="true" outlineLevel="0" collapsed="false">
      <c r="A17" s="8" t="s">
        <v>49</v>
      </c>
      <c r="B17" s="9" t="n">
        <v>1800</v>
      </c>
      <c r="C17" s="10" t="s">
        <v>50</v>
      </c>
    </row>
    <row r="18" customFormat="false" ht="15" hidden="false" customHeight="true" outlineLevel="0" collapsed="false">
      <c r="A18" s="8" t="s">
        <v>51</v>
      </c>
      <c r="B18" s="9" t="n">
        <v>3500</v>
      </c>
      <c r="C18" s="10" t="s">
        <v>52</v>
      </c>
    </row>
    <row r="19" customFormat="false" ht="15" hidden="false" customHeight="true" outlineLevel="0" collapsed="false">
      <c r="A19" s="8" t="s">
        <v>53</v>
      </c>
      <c r="B19" s="15" t="n">
        <v>5</v>
      </c>
      <c r="C19" s="10" t="s">
        <v>54</v>
      </c>
    </row>
    <row r="20" customFormat="false" ht="15" hidden="false" customHeight="true" outlineLevel="0" collapsed="false">
      <c r="A20" s="8" t="s">
        <v>55</v>
      </c>
      <c r="B20" s="15" t="n">
        <v>4</v>
      </c>
      <c r="C20" s="10" t="s">
        <v>56</v>
      </c>
    </row>
    <row r="21" customFormat="false" ht="15" hidden="false" customHeight="true" outlineLevel="0" collapsed="false">
      <c r="A21" s="7" t="s">
        <v>57</v>
      </c>
    </row>
    <row r="22" customFormat="false" ht="15" hidden="false" customHeight="true" outlineLevel="0" collapsed="false">
      <c r="A22" s="8" t="s">
        <v>58</v>
      </c>
      <c r="B22" s="16" t="n">
        <v>0.25</v>
      </c>
      <c r="C22" s="10" t="s">
        <v>59</v>
      </c>
    </row>
    <row r="23" customFormat="false" ht="15" hidden="false" customHeight="true" outlineLevel="0" collapsed="false">
      <c r="A23" s="8" t="s">
        <v>60</v>
      </c>
      <c r="B23" s="9" t="n">
        <v>500</v>
      </c>
      <c r="C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7" min="5" style="1" width="12"/>
    <col collapsed="false" customWidth="true" hidden="false" outlineLevel="0" max="8" min="8" style="1" width="10"/>
    <col collapsed="false" customWidth="true" hidden="false" outlineLevel="0" max="9" min="9" style="1" width="40"/>
  </cols>
  <sheetData>
    <row r="1" customFormat="false" ht="36" hidden="false" customHeight="true" outlineLevel="0" collapsed="false">
      <c r="A1" s="17" t="s">
        <v>61</v>
      </c>
      <c r="B1" s="18" t="s">
        <v>62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67</v>
      </c>
      <c r="H1" s="18" t="s">
        <v>68</v>
      </c>
      <c r="I1" s="18" t="s">
        <v>69</v>
      </c>
    </row>
    <row r="2" customFormat="false" ht="15" hidden="false" customHeight="true" outlineLevel="0" collapsed="false">
      <c r="A2" s="19" t="n">
        <v>1</v>
      </c>
      <c r="B2" s="20" t="s">
        <v>70</v>
      </c>
      <c r="C2" s="20" t="s">
        <v>71</v>
      </c>
      <c r="D2" s="20" t="s">
        <v>72</v>
      </c>
      <c r="E2" s="20" t="s">
        <v>73</v>
      </c>
      <c r="F2" s="21" t="s">
        <v>74</v>
      </c>
      <c r="G2" s="20" t="n">
        <v>33</v>
      </c>
      <c r="H2" s="20" t="s">
        <v>75</v>
      </c>
      <c r="I2" s="20" t="s">
        <v>76</v>
      </c>
    </row>
    <row r="3" customFormat="false" ht="15" hidden="false" customHeight="true" outlineLevel="0" collapsed="false">
      <c r="A3" s="19" t="n">
        <v>2</v>
      </c>
      <c r="B3" s="20" t="s">
        <v>77</v>
      </c>
      <c r="C3" s="20" t="s">
        <v>71</v>
      </c>
      <c r="D3" s="20" t="s">
        <v>72</v>
      </c>
      <c r="E3" s="20" t="s">
        <v>73</v>
      </c>
      <c r="F3" s="21"/>
      <c r="G3" s="20"/>
      <c r="H3" s="20" t="s">
        <v>78</v>
      </c>
      <c r="I3" s="20"/>
    </row>
    <row r="4" customFormat="false" ht="15" hidden="false" customHeight="true" outlineLevel="0" collapsed="false">
      <c r="A4" s="19" t="n">
        <v>3</v>
      </c>
      <c r="B4" s="20" t="s">
        <v>79</v>
      </c>
      <c r="C4" s="20" t="s">
        <v>71</v>
      </c>
      <c r="D4" s="20" t="s">
        <v>72</v>
      </c>
      <c r="E4" s="20" t="s">
        <v>73</v>
      </c>
      <c r="F4" s="21"/>
      <c r="G4" s="20"/>
      <c r="H4" s="20" t="s">
        <v>78</v>
      </c>
      <c r="I4" s="20"/>
    </row>
    <row r="5" customFormat="false" ht="15" hidden="false" customHeight="true" outlineLevel="0" collapsed="false">
      <c r="A5" s="19" t="n">
        <v>4</v>
      </c>
      <c r="B5" s="20" t="s">
        <v>80</v>
      </c>
      <c r="C5" s="20" t="s">
        <v>81</v>
      </c>
      <c r="D5" s="20" t="s">
        <v>72</v>
      </c>
      <c r="E5" s="20" t="s">
        <v>73</v>
      </c>
      <c r="F5" s="21"/>
      <c r="G5" s="20"/>
      <c r="H5" s="20" t="s">
        <v>78</v>
      </c>
      <c r="I5" s="20"/>
    </row>
    <row r="6" customFormat="false" ht="15" hidden="false" customHeight="true" outlineLevel="0" collapsed="false">
      <c r="A6" s="19" t="n">
        <v>5</v>
      </c>
      <c r="B6" s="20" t="s">
        <v>82</v>
      </c>
      <c r="C6" s="20" t="s">
        <v>83</v>
      </c>
      <c r="D6" s="20" t="s">
        <v>72</v>
      </c>
      <c r="E6" s="20" t="s">
        <v>73</v>
      </c>
      <c r="F6" s="21"/>
      <c r="G6" s="20"/>
      <c r="H6" s="20" t="s">
        <v>78</v>
      </c>
      <c r="I6" s="20"/>
    </row>
    <row r="7" customFormat="false" ht="15" hidden="false" customHeight="true" outlineLevel="0" collapsed="false">
      <c r="A7" s="19" t="n">
        <v>6</v>
      </c>
      <c r="B7" s="20" t="s">
        <v>84</v>
      </c>
      <c r="C7" s="20" t="s">
        <v>85</v>
      </c>
      <c r="D7" s="20" t="s">
        <v>72</v>
      </c>
      <c r="E7" s="20" t="s">
        <v>73</v>
      </c>
      <c r="F7" s="21"/>
      <c r="G7" s="20"/>
      <c r="H7" s="20" t="s">
        <v>78</v>
      </c>
      <c r="I7" s="20"/>
    </row>
    <row r="8" customFormat="false" ht="15" hidden="false" customHeight="true" outlineLevel="0" collapsed="false">
      <c r="A8" s="19" t="n">
        <v>7</v>
      </c>
      <c r="B8" s="20" t="s">
        <v>86</v>
      </c>
      <c r="C8" s="20" t="s">
        <v>87</v>
      </c>
      <c r="D8" s="20" t="s">
        <v>72</v>
      </c>
      <c r="E8" s="20" t="s">
        <v>73</v>
      </c>
      <c r="F8" s="21"/>
      <c r="G8" s="20"/>
      <c r="H8" s="20" t="s">
        <v>78</v>
      </c>
      <c r="I8" s="20"/>
    </row>
    <row r="9" customFormat="false" ht="15" hidden="false" customHeight="true" outlineLevel="0" collapsed="false">
      <c r="A9" s="19" t="n">
        <v>8</v>
      </c>
      <c r="B9" s="20" t="s">
        <v>88</v>
      </c>
      <c r="C9" s="20" t="s">
        <v>87</v>
      </c>
      <c r="D9" s="20" t="s">
        <v>89</v>
      </c>
      <c r="E9" s="22" t="s">
        <v>90</v>
      </c>
      <c r="F9" s="21"/>
      <c r="G9" s="22"/>
      <c r="H9" s="20" t="s">
        <v>78</v>
      </c>
      <c r="I9" s="22"/>
    </row>
    <row r="10" customFormat="false" ht="15" hidden="false" customHeight="true" outlineLevel="0" collapsed="false">
      <c r="A10" s="19" t="n">
        <v>9</v>
      </c>
      <c r="B10" s="20" t="s">
        <v>91</v>
      </c>
      <c r="C10" s="20" t="s">
        <v>92</v>
      </c>
      <c r="D10" s="20" t="s">
        <v>72</v>
      </c>
      <c r="E10" s="22" t="s">
        <v>90</v>
      </c>
      <c r="F10" s="21"/>
      <c r="G10" s="22"/>
      <c r="H10" s="20" t="s">
        <v>78</v>
      </c>
      <c r="I10" s="22"/>
    </row>
    <row r="11" customFormat="false" ht="15" hidden="false" customHeight="true" outlineLevel="0" collapsed="false">
      <c r="A11" s="19" t="n">
        <v>10</v>
      </c>
      <c r="B11" s="20" t="s">
        <v>93</v>
      </c>
      <c r="C11" s="20" t="s">
        <v>94</v>
      </c>
      <c r="D11" s="20" t="s">
        <v>89</v>
      </c>
      <c r="E11" s="20" t="s">
        <v>73</v>
      </c>
      <c r="F11" s="21"/>
      <c r="G11" s="22"/>
      <c r="H11" s="20" t="s">
        <v>78</v>
      </c>
      <c r="I11" s="22"/>
    </row>
    <row r="12" customFormat="false" ht="15" hidden="false" customHeight="true" outlineLevel="0" collapsed="false">
      <c r="A12" s="19" t="n">
        <v>11</v>
      </c>
      <c r="B12" s="20" t="s">
        <v>95</v>
      </c>
      <c r="C12" s="20" t="s">
        <v>81</v>
      </c>
      <c r="D12" s="20" t="s">
        <v>96</v>
      </c>
      <c r="E12" s="20" t="s">
        <v>73</v>
      </c>
      <c r="F12" s="21"/>
      <c r="G12" s="22"/>
      <c r="H12" s="20" t="s">
        <v>78</v>
      </c>
      <c r="I12" s="22"/>
    </row>
    <row r="13" customFormat="false" ht="15" hidden="false" customHeight="true" outlineLevel="0" collapsed="false">
      <c r="A13" s="19" t="n">
        <v>12</v>
      </c>
      <c r="B13" s="20" t="s">
        <v>97</v>
      </c>
      <c r="C13" s="22" t="s">
        <v>98</v>
      </c>
      <c r="D13" s="20" t="s">
        <v>96</v>
      </c>
      <c r="E13" s="20" t="s">
        <v>73</v>
      </c>
      <c r="F13" s="21"/>
      <c r="G13" s="22"/>
      <c r="H13" s="20" t="s">
        <v>78</v>
      </c>
      <c r="I13" s="22"/>
    </row>
    <row r="14" customFormat="false" ht="15" hidden="false" customHeight="true" outlineLevel="0" collapsed="false">
      <c r="A14" s="19" t="n">
        <v>13</v>
      </c>
      <c r="B14" s="20" t="s">
        <v>99</v>
      </c>
      <c r="C14" s="20" t="s">
        <v>100</v>
      </c>
      <c r="D14" s="20" t="s">
        <v>89</v>
      </c>
      <c r="E14" s="20" t="s">
        <v>73</v>
      </c>
      <c r="F14" s="21"/>
      <c r="G14" s="22"/>
      <c r="H14" s="20" t="s">
        <v>78</v>
      </c>
      <c r="I14" s="22"/>
    </row>
    <row r="15" customFormat="false" ht="15" hidden="false" customHeight="true" outlineLevel="0" collapsed="false">
      <c r="A15" s="19" t="n">
        <v>14</v>
      </c>
      <c r="B15" s="20" t="s">
        <v>101</v>
      </c>
      <c r="C15" s="20" t="s">
        <v>102</v>
      </c>
      <c r="D15" s="20" t="s">
        <v>89</v>
      </c>
      <c r="E15" s="20" t="s">
        <v>73</v>
      </c>
      <c r="F15" s="21"/>
      <c r="G15" s="22"/>
      <c r="H15" s="20" t="s">
        <v>78</v>
      </c>
      <c r="I15" s="22"/>
    </row>
    <row r="16" customFormat="false" ht="15" hidden="false" customHeight="true" outlineLevel="0" collapsed="false">
      <c r="A16" s="19" t="n">
        <v>15</v>
      </c>
      <c r="B16" s="20" t="s">
        <v>103</v>
      </c>
      <c r="C16" s="20" t="s">
        <v>104</v>
      </c>
      <c r="D16" s="20" t="s">
        <v>89</v>
      </c>
      <c r="E16" s="20" t="s">
        <v>73</v>
      </c>
      <c r="F16" s="21"/>
      <c r="G16" s="22"/>
      <c r="H16" s="20" t="s">
        <v>78</v>
      </c>
      <c r="I16" s="22"/>
    </row>
    <row r="17" customFormat="false" ht="15" hidden="false" customHeight="true" outlineLevel="0" collapsed="false">
      <c r="A17" s="19" t="n">
        <v>16</v>
      </c>
      <c r="B17" s="20" t="s">
        <v>105</v>
      </c>
      <c r="C17" s="20" t="s">
        <v>106</v>
      </c>
      <c r="D17" s="20" t="s">
        <v>96</v>
      </c>
      <c r="E17" s="20" t="s">
        <v>73</v>
      </c>
      <c r="F17" s="21"/>
      <c r="G17" s="22"/>
      <c r="H17" s="20" t="s">
        <v>78</v>
      </c>
      <c r="I17" s="22"/>
    </row>
    <row r="18" customFormat="false" ht="15" hidden="false" customHeight="true" outlineLevel="0" collapsed="false">
      <c r="A18" s="19" t="n">
        <v>17</v>
      </c>
      <c r="B18" s="20" t="s">
        <v>107</v>
      </c>
      <c r="C18" s="20" t="s">
        <v>92</v>
      </c>
      <c r="D18" s="20" t="s">
        <v>89</v>
      </c>
      <c r="E18" s="22" t="s">
        <v>90</v>
      </c>
      <c r="F18" s="21"/>
      <c r="G18" s="22"/>
      <c r="H18" s="20" t="s">
        <v>78</v>
      </c>
      <c r="I18" s="22"/>
    </row>
    <row r="19" customFormat="false" ht="15" hidden="false" customHeight="true" outlineLevel="0" collapsed="false">
      <c r="A19" s="19" t="n">
        <v>18</v>
      </c>
      <c r="B19" s="22" t="s">
        <v>108</v>
      </c>
      <c r="C19" s="20" t="s">
        <v>85</v>
      </c>
      <c r="D19" s="20" t="s">
        <v>89</v>
      </c>
      <c r="E19" s="20" t="s">
        <v>73</v>
      </c>
      <c r="F19" s="21"/>
      <c r="G19" s="22"/>
      <c r="H19" s="20" t="s">
        <v>78</v>
      </c>
      <c r="I19" s="22"/>
    </row>
    <row r="20" customFormat="false" ht="15" hidden="false" customHeight="true" outlineLevel="0" collapsed="false">
      <c r="A20" s="19"/>
      <c r="B20" s="22"/>
      <c r="C20" s="22"/>
      <c r="D20" s="22"/>
      <c r="E20" s="22"/>
      <c r="F20" s="21"/>
      <c r="G20" s="22"/>
      <c r="H20" s="20"/>
      <c r="I20" s="22"/>
    </row>
    <row r="21" customFormat="false" ht="15" hidden="false" customHeight="true" outlineLevel="0" collapsed="false">
      <c r="A21" s="19"/>
      <c r="B21" s="22"/>
      <c r="C21" s="22"/>
      <c r="D21" s="22"/>
      <c r="E21" s="22"/>
      <c r="F21" s="21"/>
      <c r="G21" s="22"/>
      <c r="H21" s="20"/>
      <c r="I21" s="22"/>
    </row>
    <row r="22" customFormat="false" ht="15" hidden="false" customHeight="true" outlineLevel="0" collapsed="false">
      <c r="A22" s="19"/>
      <c r="B22" s="22"/>
      <c r="C22" s="22"/>
      <c r="D22" s="22"/>
      <c r="E22" s="22"/>
      <c r="F22" s="21"/>
      <c r="G22" s="22"/>
      <c r="H22" s="20"/>
      <c r="I22" s="22"/>
    </row>
    <row r="23" customFormat="false" ht="15" hidden="false" customHeight="true" outlineLevel="0" collapsed="false">
      <c r="A23" s="19"/>
      <c r="B23" s="22"/>
      <c r="C23" s="22"/>
      <c r="D23" s="22"/>
      <c r="E23" s="22"/>
      <c r="F23" s="21"/>
      <c r="G23" s="22"/>
      <c r="H23" s="20"/>
      <c r="I23" s="22"/>
    </row>
    <row r="24" customFormat="false" ht="15" hidden="false" customHeight="true" outlineLevel="0" collapsed="false">
      <c r="A24" s="19"/>
      <c r="B24" s="22"/>
      <c r="C24" s="22"/>
      <c r="D24" s="22"/>
      <c r="E24" s="22"/>
      <c r="F24" s="21"/>
      <c r="G24" s="22"/>
      <c r="H24" s="20"/>
      <c r="I24" s="22"/>
    </row>
    <row r="25" customFormat="false" ht="15" hidden="false" customHeight="true" outlineLevel="0" collapsed="false">
      <c r="A25" s="19"/>
      <c r="B25" s="22"/>
      <c r="C25" s="22"/>
      <c r="D25" s="22"/>
      <c r="E25" s="22"/>
      <c r="F25" s="21"/>
      <c r="G25" s="22"/>
      <c r="H25" s="20"/>
      <c r="I25" s="22"/>
    </row>
    <row r="26" customFormat="false" ht="15" hidden="false" customHeight="true" outlineLevel="0" collapsed="false">
      <c r="A26" s="19"/>
      <c r="B26" s="22"/>
      <c r="C26" s="22"/>
      <c r="D26" s="22"/>
      <c r="E26" s="22"/>
      <c r="F26" s="21"/>
      <c r="G26" s="22"/>
      <c r="H26" s="20"/>
      <c r="I26" s="22"/>
    </row>
    <row r="27" customFormat="false" ht="15" hidden="false" customHeight="true" outlineLevel="0" collapsed="false">
      <c r="A27" s="19"/>
      <c r="B27" s="22"/>
      <c r="C27" s="22"/>
      <c r="D27" s="22"/>
      <c r="E27" s="22"/>
      <c r="F27" s="21"/>
      <c r="G27" s="22"/>
      <c r="H27" s="20"/>
      <c r="I27" s="22"/>
    </row>
    <row r="28" customFormat="false" ht="15" hidden="false" customHeight="true" outlineLevel="0" collapsed="false">
      <c r="A28" s="19"/>
      <c r="B28" s="22"/>
      <c r="C28" s="22"/>
      <c r="D28" s="22"/>
      <c r="E28" s="22"/>
      <c r="F28" s="21"/>
      <c r="G28" s="22"/>
      <c r="H28" s="20"/>
      <c r="I28" s="22"/>
    </row>
    <row r="29" customFormat="false" ht="15" hidden="false" customHeight="true" outlineLevel="0" collapsed="false">
      <c r="A29" s="19"/>
      <c r="B29" s="22"/>
      <c r="C29" s="22"/>
      <c r="D29" s="22"/>
      <c r="E29" s="22"/>
      <c r="F29" s="21"/>
      <c r="G29" s="22"/>
      <c r="H29" s="20"/>
      <c r="I29" s="22"/>
    </row>
    <row r="30" customFormat="false" ht="15" hidden="false" customHeight="true" outlineLevel="0" collapsed="false">
      <c r="A30" s="19"/>
      <c r="B30" s="22"/>
      <c r="C30" s="22"/>
      <c r="D30" s="22"/>
      <c r="E30" s="22"/>
      <c r="F30" s="21"/>
      <c r="G30" s="22"/>
      <c r="H30" s="20"/>
      <c r="I30" s="22"/>
    </row>
    <row r="31" customFormat="false" ht="15" hidden="false" customHeight="true" outlineLevel="0" collapsed="false">
      <c r="A31" s="19"/>
      <c r="B31" s="22"/>
      <c r="C31" s="22"/>
      <c r="D31" s="22"/>
      <c r="E31" s="22"/>
      <c r="F31" s="21"/>
      <c r="G31" s="22"/>
      <c r="H31" s="20"/>
      <c r="I31" s="22"/>
    </row>
    <row r="32" customFormat="false" ht="15" hidden="false" customHeight="true" outlineLevel="0" collapsed="false">
      <c r="A32" s="19"/>
      <c r="B32" s="22"/>
      <c r="C32" s="22"/>
      <c r="D32" s="22"/>
      <c r="E32" s="22"/>
      <c r="F32" s="21"/>
      <c r="G32" s="22"/>
      <c r="H32" s="20"/>
      <c r="I32" s="22"/>
    </row>
    <row r="33" customFormat="false" ht="15" hidden="false" customHeight="true" outlineLevel="0" collapsed="false">
      <c r="A33" s="19"/>
      <c r="B33" s="22"/>
      <c r="C33" s="22"/>
      <c r="D33" s="22"/>
      <c r="E33" s="22"/>
      <c r="F33" s="21"/>
      <c r="G33" s="22"/>
      <c r="H33" s="20"/>
      <c r="I33" s="22"/>
    </row>
    <row r="34" customFormat="false" ht="15" hidden="false" customHeight="true" outlineLevel="0" collapsed="false">
      <c r="A34" s="19"/>
      <c r="B34" s="22"/>
      <c r="C34" s="22"/>
      <c r="D34" s="22"/>
      <c r="E34" s="22"/>
      <c r="F34" s="21"/>
      <c r="G34" s="22"/>
      <c r="H34" s="20"/>
      <c r="I34" s="22"/>
    </row>
    <row r="35" customFormat="false" ht="15" hidden="false" customHeight="true" outlineLevel="0" collapsed="false">
      <c r="A35" s="19"/>
      <c r="B35" s="22"/>
      <c r="C35" s="22"/>
      <c r="D35" s="22"/>
      <c r="E35" s="22"/>
      <c r="F35" s="21"/>
      <c r="G35" s="22"/>
      <c r="H35" s="20"/>
      <c r="I35" s="22"/>
    </row>
    <row r="36" customFormat="false" ht="15" hidden="false" customHeight="true" outlineLevel="0" collapsed="false">
      <c r="A36" s="19"/>
      <c r="B36" s="22"/>
      <c r="C36" s="22"/>
      <c r="D36" s="22"/>
      <c r="E36" s="22"/>
      <c r="F36" s="21"/>
      <c r="G36" s="22"/>
      <c r="H36" s="20"/>
      <c r="I36" s="22"/>
    </row>
    <row r="37" customFormat="false" ht="15" hidden="false" customHeight="true" outlineLevel="0" collapsed="false">
      <c r="A37" s="19"/>
      <c r="B37" s="22"/>
      <c r="C37" s="22"/>
      <c r="D37" s="22"/>
      <c r="E37" s="22"/>
      <c r="F37" s="21"/>
      <c r="G37" s="22"/>
      <c r="H37" s="20"/>
      <c r="I37" s="22"/>
    </row>
    <row r="38" customFormat="false" ht="15" hidden="false" customHeight="true" outlineLevel="0" collapsed="false">
      <c r="A38" s="19"/>
      <c r="B38" s="22"/>
      <c r="C38" s="22"/>
      <c r="D38" s="22"/>
      <c r="E38" s="22"/>
      <c r="F38" s="21"/>
      <c r="G38" s="22"/>
      <c r="H38" s="20"/>
      <c r="I38" s="22"/>
    </row>
    <row r="39" customFormat="false" ht="15" hidden="false" customHeight="true" outlineLevel="0" collapsed="false">
      <c r="A39" s="19"/>
      <c r="B39" s="22"/>
      <c r="C39" s="22"/>
      <c r="D39" s="22"/>
      <c r="E39" s="22"/>
      <c r="F39" s="21"/>
      <c r="G39" s="22"/>
      <c r="H39" s="20"/>
      <c r="I39" s="22"/>
    </row>
    <row r="40" customFormat="false" ht="15" hidden="false" customHeight="true" outlineLevel="0" collapsed="false">
      <c r="A40" s="19"/>
      <c r="B40" s="22"/>
      <c r="C40" s="22"/>
      <c r="D40" s="22"/>
      <c r="E40" s="22"/>
      <c r="F40" s="21"/>
      <c r="G40" s="22"/>
      <c r="H40" s="20"/>
      <c r="I40" s="22"/>
    </row>
    <row r="41" customFormat="false" ht="15" hidden="false" customHeight="true" outlineLevel="0" collapsed="false">
      <c r="A41" s="19"/>
      <c r="B41" s="22"/>
      <c r="C41" s="22"/>
      <c r="D41" s="22"/>
      <c r="E41" s="22"/>
      <c r="F41" s="21"/>
      <c r="G41" s="22"/>
      <c r="H41" s="20"/>
      <c r="I41" s="22"/>
    </row>
    <row r="42" customFormat="false" ht="15" hidden="false" customHeight="true" outlineLevel="0" collapsed="false">
      <c r="A42" s="19"/>
      <c r="B42" s="22"/>
      <c r="C42" s="22"/>
      <c r="D42" s="22"/>
      <c r="E42" s="22"/>
      <c r="F42" s="21"/>
      <c r="G42" s="22"/>
      <c r="H42" s="20"/>
      <c r="I42" s="22"/>
    </row>
    <row r="43" customFormat="false" ht="15" hidden="false" customHeight="true" outlineLevel="0" collapsed="false">
      <c r="A43" s="19"/>
      <c r="B43" s="22"/>
      <c r="C43" s="22"/>
      <c r="D43" s="22"/>
      <c r="E43" s="22"/>
      <c r="F43" s="21"/>
      <c r="G43" s="22"/>
      <c r="H43" s="20"/>
      <c r="I43" s="22"/>
    </row>
    <row r="44" customFormat="false" ht="15" hidden="false" customHeight="true" outlineLevel="0" collapsed="false">
      <c r="A44" s="19"/>
      <c r="B44" s="22"/>
      <c r="C44" s="22"/>
      <c r="D44" s="22"/>
      <c r="E44" s="22"/>
      <c r="F44" s="21"/>
      <c r="G44" s="22"/>
      <c r="H44" s="20"/>
      <c r="I44" s="22"/>
    </row>
    <row r="45" customFormat="false" ht="15" hidden="false" customHeight="true" outlineLevel="0" collapsed="false">
      <c r="A45" s="19"/>
      <c r="B45" s="22"/>
      <c r="C45" s="22"/>
      <c r="D45" s="22"/>
      <c r="E45" s="22"/>
      <c r="F45" s="21"/>
      <c r="G45" s="22"/>
      <c r="H45" s="20"/>
      <c r="I45" s="22"/>
    </row>
    <row r="46" customFormat="false" ht="15" hidden="false" customHeight="true" outlineLevel="0" collapsed="false">
      <c r="A46" s="19"/>
      <c r="B46" s="22"/>
      <c r="C46" s="22"/>
      <c r="D46" s="22"/>
      <c r="E46" s="22"/>
      <c r="F46" s="21"/>
      <c r="G46" s="22"/>
      <c r="H46" s="20"/>
      <c r="I46" s="22"/>
    </row>
    <row r="47" customFormat="false" ht="15" hidden="false" customHeight="true" outlineLevel="0" collapsed="false">
      <c r="A47" s="19"/>
      <c r="B47" s="22"/>
      <c r="C47" s="22"/>
      <c r="D47" s="22"/>
      <c r="E47" s="22"/>
      <c r="F47" s="21"/>
      <c r="G47" s="22"/>
      <c r="H47" s="20"/>
      <c r="I47" s="22"/>
    </row>
    <row r="48" customFormat="false" ht="15" hidden="false" customHeight="true" outlineLevel="0" collapsed="false">
      <c r="A48" s="19"/>
      <c r="B48" s="22"/>
      <c r="C48" s="22"/>
      <c r="D48" s="22"/>
      <c r="E48" s="22"/>
      <c r="F48" s="21"/>
      <c r="G48" s="22"/>
      <c r="H48" s="20"/>
      <c r="I48" s="22"/>
    </row>
    <row r="49" customFormat="false" ht="15" hidden="false" customHeight="true" outlineLevel="0" collapsed="false">
      <c r="A49" s="19"/>
      <c r="B49" s="22"/>
      <c r="C49" s="22"/>
      <c r="D49" s="22"/>
      <c r="E49" s="22"/>
      <c r="F49" s="21"/>
      <c r="G49" s="22"/>
      <c r="H49" s="20"/>
      <c r="I49" s="22"/>
    </row>
    <row r="51" customFormat="false" ht="15" hidden="false" customHeight="true" outlineLevel="0" collapsed="false">
      <c r="B51" s="23" t="s">
        <v>109</v>
      </c>
    </row>
  </sheetData>
  <dataValidations count="1">
    <dataValidation allowBlank="true" errorStyle="stop" operator="between" showDropDown="false" showErrorMessage="false" showInputMessage="false" sqref="H2:H49" type="list">
      <formula1>"未着手,調査中,完了,見送り"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2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10" min="8" style="1" width="9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8"/>
    <col collapsed="false" customWidth="true" hidden="false" outlineLevel="0" max="14" min="14" style="1" width="11"/>
    <col collapsed="false" customWidth="true" hidden="false" outlineLevel="0" max="15" min="15" style="1" width="36"/>
  </cols>
  <sheetData>
    <row r="1" customFormat="false" ht="36" hidden="false" customHeight="true" outlineLevel="0" collapsed="false">
      <c r="A1" s="17" t="s">
        <v>61</v>
      </c>
      <c r="B1" s="18" t="s">
        <v>110</v>
      </c>
      <c r="C1" s="18" t="s">
        <v>111</v>
      </c>
      <c r="D1" s="18" t="s">
        <v>112</v>
      </c>
      <c r="E1" s="18" t="s">
        <v>113</v>
      </c>
      <c r="F1" s="18" t="s">
        <v>114</v>
      </c>
      <c r="G1" s="18" t="s">
        <v>115</v>
      </c>
      <c r="H1" s="18" t="s">
        <v>116</v>
      </c>
      <c r="I1" s="18" t="s">
        <v>117</v>
      </c>
      <c r="J1" s="18" t="s">
        <v>118</v>
      </c>
      <c r="K1" s="18" t="s">
        <v>119</v>
      </c>
      <c r="L1" s="18" t="s">
        <v>120</v>
      </c>
      <c r="M1" s="18" t="s">
        <v>121</v>
      </c>
      <c r="N1" s="18" t="s">
        <v>122</v>
      </c>
      <c r="O1" s="18" t="s">
        <v>69</v>
      </c>
    </row>
    <row r="2" customFormat="false" ht="15" hidden="false" customHeight="true" outlineLevel="0" collapsed="false">
      <c r="A2" s="22" t="n">
        <v>1</v>
      </c>
      <c r="B2" s="20" t="s">
        <v>70</v>
      </c>
      <c r="C2" s="22" t="s">
        <v>123</v>
      </c>
      <c r="D2" s="22" t="s">
        <v>124</v>
      </c>
      <c r="E2" s="22" t="s">
        <v>125</v>
      </c>
      <c r="F2" s="20" t="s">
        <v>126</v>
      </c>
      <c r="G2" s="20" t="s">
        <v>127</v>
      </c>
      <c r="H2" s="9"/>
      <c r="I2" s="9"/>
      <c r="J2" s="16"/>
      <c r="K2" s="20" t="s">
        <v>128</v>
      </c>
      <c r="L2" s="22" t="s">
        <v>129</v>
      </c>
      <c r="M2" s="22" t="s">
        <v>130</v>
      </c>
      <c r="N2" s="22" t="s">
        <v>74</v>
      </c>
      <c r="O2" s="20" t="s">
        <v>131</v>
      </c>
    </row>
    <row r="3" customFormat="false" ht="15" hidden="false" customHeight="true" outlineLevel="0" collapsed="false">
      <c r="A3" s="24" t="n">
        <v>2</v>
      </c>
      <c r="B3" s="20" t="s">
        <v>70</v>
      </c>
      <c r="C3" s="22" t="s">
        <v>132</v>
      </c>
      <c r="D3" s="22" t="s">
        <v>133</v>
      </c>
      <c r="E3" s="22" t="s">
        <v>134</v>
      </c>
      <c r="F3" s="20" t="s">
        <v>126</v>
      </c>
      <c r="G3" s="20" t="s">
        <v>127</v>
      </c>
      <c r="H3" s="9"/>
      <c r="I3" s="9"/>
      <c r="J3" s="16"/>
      <c r="K3" s="20" t="s">
        <v>128</v>
      </c>
      <c r="L3" s="22" t="s">
        <v>135</v>
      </c>
      <c r="M3" s="22" t="s">
        <v>130</v>
      </c>
      <c r="N3" s="22" t="s">
        <v>74</v>
      </c>
      <c r="O3" s="20" t="s">
        <v>136</v>
      </c>
    </row>
    <row r="4" customFormat="false" ht="15" hidden="false" customHeight="true" outlineLevel="0" collapsed="false">
      <c r="A4" s="24" t="n">
        <v>3</v>
      </c>
      <c r="B4" s="20" t="s">
        <v>70</v>
      </c>
      <c r="C4" s="20" t="s">
        <v>137</v>
      </c>
      <c r="D4" s="22" t="s">
        <v>138</v>
      </c>
      <c r="E4" s="22" t="s">
        <v>139</v>
      </c>
      <c r="F4" s="22" t="s">
        <v>140</v>
      </c>
      <c r="G4" s="20" t="s">
        <v>127</v>
      </c>
      <c r="H4" s="9"/>
      <c r="I4" s="9"/>
      <c r="J4" s="16"/>
      <c r="K4" s="20" t="s">
        <v>128</v>
      </c>
      <c r="L4" s="22" t="s">
        <v>141</v>
      </c>
      <c r="M4" s="22" t="s">
        <v>130</v>
      </c>
      <c r="N4" s="22" t="s">
        <v>74</v>
      </c>
      <c r="O4" s="20" t="s">
        <v>142</v>
      </c>
    </row>
    <row r="5" customFormat="false" ht="15" hidden="false" customHeight="true" outlineLevel="0" collapsed="false">
      <c r="A5" s="24" t="n">
        <v>4</v>
      </c>
      <c r="B5" s="20" t="s">
        <v>70</v>
      </c>
      <c r="C5" s="22" t="s">
        <v>143</v>
      </c>
      <c r="D5" s="22" t="s">
        <v>144</v>
      </c>
      <c r="E5" s="22" t="s">
        <v>145</v>
      </c>
      <c r="F5" s="20" t="s">
        <v>146</v>
      </c>
      <c r="G5" s="20" t="s">
        <v>127</v>
      </c>
      <c r="H5" s="9"/>
      <c r="I5" s="9"/>
      <c r="J5" s="16"/>
      <c r="K5" s="20" t="s">
        <v>128</v>
      </c>
      <c r="L5" s="22" t="s">
        <v>147</v>
      </c>
      <c r="M5" s="22" t="s">
        <v>130</v>
      </c>
      <c r="N5" s="22" t="s">
        <v>74</v>
      </c>
      <c r="O5" s="20" t="s">
        <v>148</v>
      </c>
    </row>
    <row r="6" customFormat="false" ht="15" hidden="false" customHeight="true" outlineLevel="0" collapsed="false">
      <c r="A6" s="24" t="n">
        <v>5</v>
      </c>
      <c r="B6" s="20" t="s">
        <v>70</v>
      </c>
      <c r="C6" s="20" t="s">
        <v>149</v>
      </c>
      <c r="D6" s="22" t="s">
        <v>150</v>
      </c>
      <c r="E6" s="22" t="s">
        <v>151</v>
      </c>
      <c r="F6" s="20" t="s">
        <v>152</v>
      </c>
      <c r="G6" s="20" t="s">
        <v>127</v>
      </c>
      <c r="H6" s="9"/>
      <c r="I6" s="9"/>
      <c r="J6" s="16"/>
      <c r="K6" s="20" t="s">
        <v>128</v>
      </c>
      <c r="L6" s="22" t="s">
        <v>153</v>
      </c>
      <c r="M6" s="22" t="s">
        <v>130</v>
      </c>
      <c r="N6" s="22" t="s">
        <v>74</v>
      </c>
      <c r="O6" s="20" t="s">
        <v>154</v>
      </c>
    </row>
    <row r="7" customFormat="false" ht="15" hidden="false" customHeight="true" outlineLevel="0" collapsed="false">
      <c r="A7" s="24" t="n">
        <v>6</v>
      </c>
      <c r="B7" s="20" t="s">
        <v>70</v>
      </c>
      <c r="C7" s="22" t="s">
        <v>155</v>
      </c>
      <c r="D7" s="22" t="s">
        <v>156</v>
      </c>
      <c r="E7" s="22" t="s">
        <v>157</v>
      </c>
      <c r="F7" s="20" t="s">
        <v>158</v>
      </c>
      <c r="G7" s="20" t="s">
        <v>127</v>
      </c>
      <c r="H7" s="9"/>
      <c r="I7" s="9"/>
      <c r="J7" s="16"/>
      <c r="K7" s="20" t="s">
        <v>128</v>
      </c>
      <c r="L7" s="22" t="s">
        <v>159</v>
      </c>
      <c r="M7" s="22" t="s">
        <v>130</v>
      </c>
      <c r="N7" s="22" t="s">
        <v>74</v>
      </c>
      <c r="O7" s="20" t="s">
        <v>160</v>
      </c>
    </row>
    <row r="8" customFormat="false" ht="15" hidden="false" customHeight="true" outlineLevel="0" collapsed="false">
      <c r="A8" s="24" t="n">
        <v>7</v>
      </c>
      <c r="B8" s="20" t="s">
        <v>70</v>
      </c>
      <c r="C8" s="22" t="s">
        <v>161</v>
      </c>
      <c r="D8" s="22" t="s">
        <v>162</v>
      </c>
      <c r="E8" s="22" t="s">
        <v>163</v>
      </c>
      <c r="F8" s="20" t="s">
        <v>164</v>
      </c>
      <c r="G8" s="20" t="s">
        <v>127</v>
      </c>
      <c r="H8" s="9"/>
      <c r="I8" s="9"/>
      <c r="J8" s="16"/>
      <c r="K8" s="20" t="s">
        <v>128</v>
      </c>
      <c r="L8" s="22" t="s">
        <v>165</v>
      </c>
      <c r="M8" s="22" t="s">
        <v>130</v>
      </c>
      <c r="N8" s="22" t="s">
        <v>74</v>
      </c>
      <c r="O8" s="20" t="s">
        <v>166</v>
      </c>
    </row>
    <row r="9" customFormat="false" ht="15" hidden="false" customHeight="true" outlineLevel="0" collapsed="false">
      <c r="A9" s="24" t="n">
        <v>8</v>
      </c>
      <c r="B9" s="20" t="s">
        <v>70</v>
      </c>
      <c r="C9" s="22" t="s">
        <v>167</v>
      </c>
      <c r="D9" s="22" t="s">
        <v>168</v>
      </c>
      <c r="E9" s="22" t="s">
        <v>169</v>
      </c>
      <c r="F9" s="20" t="s">
        <v>126</v>
      </c>
      <c r="G9" s="20" t="s">
        <v>127</v>
      </c>
      <c r="H9" s="9"/>
      <c r="I9" s="9"/>
      <c r="J9" s="16"/>
      <c r="K9" s="20" t="s">
        <v>128</v>
      </c>
      <c r="L9" s="22" t="s">
        <v>135</v>
      </c>
      <c r="M9" s="22" t="s">
        <v>130</v>
      </c>
      <c r="N9" s="22" t="s">
        <v>74</v>
      </c>
      <c r="O9" s="20" t="s">
        <v>170</v>
      </c>
    </row>
    <row r="10" customFormat="false" ht="15" hidden="false" customHeight="true" outlineLevel="0" collapsed="false">
      <c r="A10" s="24" t="n">
        <v>9</v>
      </c>
      <c r="B10" s="20" t="s">
        <v>70</v>
      </c>
      <c r="C10" s="22" t="s">
        <v>171</v>
      </c>
      <c r="D10" s="22" t="s">
        <v>172</v>
      </c>
      <c r="E10" s="22" t="s">
        <v>173</v>
      </c>
      <c r="F10" s="20" t="s">
        <v>126</v>
      </c>
      <c r="G10" s="20" t="s">
        <v>127</v>
      </c>
      <c r="H10" s="9"/>
      <c r="I10" s="9"/>
      <c r="J10" s="16"/>
      <c r="K10" s="20" t="s">
        <v>128</v>
      </c>
      <c r="L10" s="22" t="s">
        <v>174</v>
      </c>
      <c r="M10" s="22" t="s">
        <v>130</v>
      </c>
      <c r="N10" s="22" t="s">
        <v>74</v>
      </c>
      <c r="O10" s="20" t="s">
        <v>175</v>
      </c>
    </row>
    <row r="11" customFormat="false" ht="15" hidden="false" customHeight="true" outlineLevel="0" collapsed="false">
      <c r="A11" s="24" t="n">
        <v>10</v>
      </c>
      <c r="B11" s="20" t="s">
        <v>70</v>
      </c>
      <c r="C11" s="22" t="s">
        <v>176</v>
      </c>
      <c r="D11" s="22" t="s">
        <v>177</v>
      </c>
      <c r="E11" s="22" t="s">
        <v>178</v>
      </c>
      <c r="F11" s="20" t="s">
        <v>179</v>
      </c>
      <c r="G11" s="20" t="s">
        <v>127</v>
      </c>
      <c r="H11" s="9"/>
      <c r="I11" s="9"/>
      <c r="J11" s="16"/>
      <c r="K11" s="20" t="s">
        <v>128</v>
      </c>
      <c r="L11" s="22" t="s">
        <v>165</v>
      </c>
      <c r="M11" s="22" t="s">
        <v>180</v>
      </c>
      <c r="N11" s="22" t="s">
        <v>74</v>
      </c>
      <c r="O11" s="20" t="s">
        <v>181</v>
      </c>
    </row>
    <row r="12" customFormat="false" ht="15" hidden="false" customHeight="true" outlineLevel="0" collapsed="false">
      <c r="A12" s="24" t="n">
        <v>11</v>
      </c>
      <c r="B12" s="20" t="s">
        <v>70</v>
      </c>
      <c r="C12" s="22" t="s">
        <v>182</v>
      </c>
      <c r="D12" s="22" t="s">
        <v>183</v>
      </c>
      <c r="E12" s="22" t="s">
        <v>184</v>
      </c>
      <c r="F12" s="20" t="s">
        <v>185</v>
      </c>
      <c r="G12" s="20" t="s">
        <v>127</v>
      </c>
      <c r="H12" s="9"/>
      <c r="I12" s="9"/>
      <c r="J12" s="16"/>
      <c r="K12" s="20" t="s">
        <v>128</v>
      </c>
      <c r="L12" s="22" t="s">
        <v>186</v>
      </c>
      <c r="M12" s="22" t="s">
        <v>180</v>
      </c>
      <c r="N12" s="22" t="s">
        <v>74</v>
      </c>
      <c r="O12" s="20" t="s">
        <v>187</v>
      </c>
    </row>
    <row r="13" customFormat="false" ht="15" hidden="false" customHeight="true" outlineLevel="0" collapsed="false">
      <c r="A13" s="24" t="n">
        <v>12</v>
      </c>
      <c r="B13" s="20" t="s">
        <v>70</v>
      </c>
      <c r="C13" s="22" t="s">
        <v>188</v>
      </c>
      <c r="D13" s="22" t="s">
        <v>189</v>
      </c>
      <c r="E13" s="22" t="s">
        <v>190</v>
      </c>
      <c r="F13" s="20" t="s">
        <v>191</v>
      </c>
      <c r="G13" s="20" t="s">
        <v>127</v>
      </c>
      <c r="H13" s="9"/>
      <c r="I13" s="9"/>
      <c r="J13" s="16"/>
      <c r="K13" s="20" t="s">
        <v>128</v>
      </c>
      <c r="L13" s="22" t="s">
        <v>192</v>
      </c>
      <c r="M13" s="22" t="s">
        <v>180</v>
      </c>
      <c r="N13" s="22" t="s">
        <v>74</v>
      </c>
      <c r="O13" s="20" t="s">
        <v>193</v>
      </c>
    </row>
    <row r="14" customFormat="false" ht="15" hidden="false" customHeight="true" outlineLevel="0" collapsed="false">
      <c r="A14" s="24" t="n">
        <v>13</v>
      </c>
      <c r="B14" s="20" t="s">
        <v>70</v>
      </c>
      <c r="C14" s="22" t="s">
        <v>194</v>
      </c>
      <c r="D14" s="22" t="s">
        <v>195</v>
      </c>
      <c r="E14" s="22" t="s">
        <v>196</v>
      </c>
      <c r="F14" s="20" t="s">
        <v>197</v>
      </c>
      <c r="G14" s="20" t="s">
        <v>127</v>
      </c>
      <c r="H14" s="9"/>
      <c r="I14" s="9"/>
      <c r="J14" s="16"/>
      <c r="K14" s="20" t="s">
        <v>128</v>
      </c>
      <c r="L14" s="22" t="s">
        <v>198</v>
      </c>
      <c r="M14" s="22" t="s">
        <v>180</v>
      </c>
      <c r="N14" s="22" t="s">
        <v>74</v>
      </c>
      <c r="O14" s="20" t="s">
        <v>199</v>
      </c>
    </row>
    <row r="15" customFormat="false" ht="15" hidden="false" customHeight="true" outlineLevel="0" collapsed="false">
      <c r="A15" s="24" t="n">
        <v>14</v>
      </c>
      <c r="B15" s="20" t="s">
        <v>70</v>
      </c>
      <c r="C15" s="22" t="s">
        <v>200</v>
      </c>
      <c r="D15" s="22" t="s">
        <v>201</v>
      </c>
      <c r="E15" s="22" t="s">
        <v>202</v>
      </c>
      <c r="F15" s="20" t="s">
        <v>126</v>
      </c>
      <c r="G15" s="20" t="s">
        <v>127</v>
      </c>
      <c r="H15" s="9"/>
      <c r="I15" s="9"/>
      <c r="J15" s="16"/>
      <c r="K15" s="20" t="s">
        <v>128</v>
      </c>
      <c r="L15" s="22" t="s">
        <v>203</v>
      </c>
      <c r="M15" s="22" t="s">
        <v>180</v>
      </c>
      <c r="N15" s="22" t="s">
        <v>74</v>
      </c>
      <c r="O15" s="20" t="s">
        <v>204</v>
      </c>
    </row>
    <row r="16" customFormat="false" ht="15" hidden="false" customHeight="true" outlineLevel="0" collapsed="false">
      <c r="A16" s="24" t="n">
        <v>15</v>
      </c>
      <c r="B16" s="20" t="s">
        <v>70</v>
      </c>
      <c r="C16" s="22" t="s">
        <v>205</v>
      </c>
      <c r="D16" s="22" t="s">
        <v>206</v>
      </c>
      <c r="E16" s="22" t="s">
        <v>205</v>
      </c>
      <c r="F16" s="20" t="s">
        <v>207</v>
      </c>
      <c r="G16" s="20" t="s">
        <v>127</v>
      </c>
      <c r="H16" s="9"/>
      <c r="I16" s="9"/>
      <c r="J16" s="16"/>
      <c r="K16" s="20" t="s">
        <v>128</v>
      </c>
      <c r="L16" s="22" t="s">
        <v>208</v>
      </c>
      <c r="M16" s="22" t="s">
        <v>180</v>
      </c>
      <c r="N16" s="22" t="s">
        <v>74</v>
      </c>
      <c r="O16" s="20" t="s">
        <v>209</v>
      </c>
    </row>
    <row r="17" customFormat="false" ht="15" hidden="false" customHeight="true" outlineLevel="0" collapsed="false">
      <c r="A17" s="24" t="n">
        <v>16</v>
      </c>
      <c r="B17" s="20" t="s">
        <v>70</v>
      </c>
      <c r="C17" s="20" t="s">
        <v>210</v>
      </c>
      <c r="D17" s="22" t="s">
        <v>211</v>
      </c>
      <c r="E17" s="20" t="s">
        <v>212</v>
      </c>
      <c r="F17" s="20" t="s">
        <v>213</v>
      </c>
      <c r="G17" s="20" t="s">
        <v>214</v>
      </c>
      <c r="H17" s="9"/>
      <c r="I17" s="9"/>
      <c r="J17" s="16"/>
      <c r="K17" s="20" t="s">
        <v>128</v>
      </c>
      <c r="L17" s="22" t="s">
        <v>215</v>
      </c>
      <c r="M17" s="22" t="s">
        <v>216</v>
      </c>
      <c r="N17" s="22" t="s">
        <v>74</v>
      </c>
      <c r="O17" s="20" t="s">
        <v>217</v>
      </c>
    </row>
    <row r="18" customFormat="false" ht="15" hidden="false" customHeight="true" outlineLevel="0" collapsed="false">
      <c r="A18" s="24" t="n">
        <v>17</v>
      </c>
      <c r="B18" s="20" t="s">
        <v>70</v>
      </c>
      <c r="C18" s="22" t="s">
        <v>218</v>
      </c>
      <c r="D18" s="22" t="s">
        <v>219</v>
      </c>
      <c r="E18" s="22" t="s">
        <v>125</v>
      </c>
      <c r="F18" s="20" t="s">
        <v>220</v>
      </c>
      <c r="G18" s="20" t="s">
        <v>127</v>
      </c>
      <c r="H18" s="9"/>
      <c r="I18" s="9"/>
      <c r="J18" s="16"/>
      <c r="K18" s="20" t="s">
        <v>128</v>
      </c>
      <c r="L18" s="22" t="s">
        <v>159</v>
      </c>
      <c r="M18" s="22" t="s">
        <v>180</v>
      </c>
      <c r="N18" s="22" t="s">
        <v>74</v>
      </c>
      <c r="O18" s="20" t="s">
        <v>221</v>
      </c>
    </row>
    <row r="19" customFormat="false" ht="15" hidden="false" customHeight="true" outlineLevel="0" collapsed="false">
      <c r="A19" s="24" t="n">
        <v>18</v>
      </c>
      <c r="B19" s="20" t="s">
        <v>70</v>
      </c>
      <c r="C19" s="22" t="s">
        <v>222</v>
      </c>
      <c r="D19" s="22" t="s">
        <v>223</v>
      </c>
      <c r="E19" s="22" t="s">
        <v>224</v>
      </c>
      <c r="F19" s="22" t="s">
        <v>225</v>
      </c>
      <c r="G19" s="20" t="s">
        <v>127</v>
      </c>
      <c r="H19" s="9"/>
      <c r="I19" s="9"/>
      <c r="J19" s="16"/>
      <c r="K19" s="20" t="s">
        <v>128</v>
      </c>
      <c r="L19" s="22" t="s">
        <v>226</v>
      </c>
      <c r="M19" s="22" t="s">
        <v>180</v>
      </c>
      <c r="N19" s="22" t="s">
        <v>74</v>
      </c>
      <c r="O19" s="20" t="s">
        <v>227</v>
      </c>
    </row>
    <row r="20" customFormat="false" ht="15" hidden="false" customHeight="true" outlineLevel="0" collapsed="false">
      <c r="A20" s="24" t="n">
        <v>19</v>
      </c>
      <c r="B20" s="20" t="s">
        <v>70</v>
      </c>
      <c r="C20" s="20" t="s">
        <v>228</v>
      </c>
      <c r="D20" s="22" t="s">
        <v>229</v>
      </c>
      <c r="E20" s="22" t="s">
        <v>230</v>
      </c>
      <c r="F20" s="20" t="s">
        <v>126</v>
      </c>
      <c r="G20" s="20" t="s">
        <v>127</v>
      </c>
      <c r="H20" s="9"/>
      <c r="I20" s="9"/>
      <c r="J20" s="16"/>
      <c r="K20" s="20" t="s">
        <v>128</v>
      </c>
      <c r="L20" s="22" t="s">
        <v>165</v>
      </c>
      <c r="M20" s="22" t="s">
        <v>180</v>
      </c>
      <c r="N20" s="22" t="s">
        <v>74</v>
      </c>
      <c r="O20" s="20" t="s">
        <v>231</v>
      </c>
    </row>
    <row r="21" customFormat="false" ht="15" hidden="false" customHeight="true" outlineLevel="0" collapsed="false">
      <c r="A21" s="24" t="n">
        <v>20</v>
      </c>
      <c r="B21" s="20" t="s">
        <v>70</v>
      </c>
      <c r="C21" s="22" t="s">
        <v>232</v>
      </c>
      <c r="D21" s="22" t="s">
        <v>233</v>
      </c>
      <c r="E21" s="22" t="s">
        <v>234</v>
      </c>
      <c r="F21" s="22" t="s">
        <v>235</v>
      </c>
      <c r="G21" s="20" t="s">
        <v>127</v>
      </c>
      <c r="H21" s="9"/>
      <c r="I21" s="9"/>
      <c r="J21" s="16"/>
      <c r="K21" s="20" t="s">
        <v>128</v>
      </c>
      <c r="L21" s="22" t="s">
        <v>236</v>
      </c>
      <c r="M21" s="22" t="s">
        <v>180</v>
      </c>
      <c r="N21" s="22" t="s">
        <v>74</v>
      </c>
      <c r="O21" s="20" t="s">
        <v>237</v>
      </c>
    </row>
    <row r="22" customFormat="false" ht="15" hidden="false" customHeight="true" outlineLevel="0" collapsed="false">
      <c r="A22" s="24" t="n">
        <v>21</v>
      </c>
      <c r="B22" s="20" t="s">
        <v>70</v>
      </c>
      <c r="C22" s="22" t="s">
        <v>238</v>
      </c>
      <c r="D22" s="22" t="s">
        <v>239</v>
      </c>
      <c r="E22" s="22" t="s">
        <v>134</v>
      </c>
      <c r="F22" s="20" t="s">
        <v>179</v>
      </c>
      <c r="G22" s="20" t="s">
        <v>127</v>
      </c>
      <c r="H22" s="9"/>
      <c r="I22" s="9"/>
      <c r="J22" s="16"/>
      <c r="K22" s="20" t="s">
        <v>128</v>
      </c>
      <c r="L22" s="22" t="s">
        <v>240</v>
      </c>
      <c r="M22" s="22" t="s">
        <v>180</v>
      </c>
      <c r="N22" s="22" t="s">
        <v>74</v>
      </c>
      <c r="O22" s="20" t="s">
        <v>241</v>
      </c>
    </row>
    <row r="23" customFormat="false" ht="15" hidden="false" customHeight="true" outlineLevel="0" collapsed="false">
      <c r="A23" s="24" t="n">
        <v>22</v>
      </c>
      <c r="B23" s="20" t="s">
        <v>70</v>
      </c>
      <c r="C23" s="22" t="s">
        <v>242</v>
      </c>
      <c r="D23" s="22" t="s">
        <v>243</v>
      </c>
      <c r="E23" s="22" t="s">
        <v>244</v>
      </c>
      <c r="F23" s="20" t="s">
        <v>245</v>
      </c>
      <c r="G23" s="20" t="s">
        <v>127</v>
      </c>
      <c r="H23" s="9"/>
      <c r="I23" s="9"/>
      <c r="J23" s="16"/>
      <c r="K23" s="20" t="s">
        <v>128</v>
      </c>
      <c r="L23" s="22" t="s">
        <v>246</v>
      </c>
      <c r="M23" s="22" t="s">
        <v>180</v>
      </c>
      <c r="N23" s="22" t="s">
        <v>74</v>
      </c>
      <c r="O23" s="20" t="s">
        <v>247</v>
      </c>
    </row>
    <row r="24" customFormat="false" ht="15" hidden="false" customHeight="true" outlineLevel="0" collapsed="false">
      <c r="A24" s="24" t="n">
        <v>23</v>
      </c>
      <c r="B24" s="20" t="s">
        <v>70</v>
      </c>
      <c r="C24" s="20" t="s">
        <v>248</v>
      </c>
      <c r="D24" s="22" t="s">
        <v>249</v>
      </c>
      <c r="E24" s="22" t="s">
        <v>250</v>
      </c>
      <c r="F24" s="20" t="s">
        <v>251</v>
      </c>
      <c r="G24" s="20" t="s">
        <v>127</v>
      </c>
      <c r="H24" s="9"/>
      <c r="I24" s="9"/>
      <c r="J24" s="16"/>
      <c r="K24" s="20" t="s">
        <v>128</v>
      </c>
      <c r="L24" s="22" t="s">
        <v>252</v>
      </c>
      <c r="M24" s="22" t="s">
        <v>180</v>
      </c>
      <c r="N24" s="22" t="s">
        <v>74</v>
      </c>
      <c r="O24" s="20" t="s">
        <v>253</v>
      </c>
    </row>
    <row r="25" customFormat="false" ht="15" hidden="false" customHeight="true" outlineLevel="0" collapsed="false">
      <c r="A25" s="24" t="n">
        <v>24</v>
      </c>
      <c r="B25" s="20" t="s">
        <v>70</v>
      </c>
      <c r="C25" s="22" t="s">
        <v>254</v>
      </c>
      <c r="D25" s="22" t="s">
        <v>255</v>
      </c>
      <c r="E25" s="22" t="s">
        <v>254</v>
      </c>
      <c r="F25" s="22" t="s">
        <v>256</v>
      </c>
      <c r="G25" s="20" t="s">
        <v>127</v>
      </c>
      <c r="H25" s="9"/>
      <c r="I25" s="9"/>
      <c r="J25" s="16"/>
      <c r="K25" s="20" t="s">
        <v>128</v>
      </c>
      <c r="L25" s="22" t="s">
        <v>257</v>
      </c>
      <c r="M25" s="22" t="s">
        <v>180</v>
      </c>
      <c r="N25" s="22" t="s">
        <v>74</v>
      </c>
      <c r="O25" s="20" t="s">
        <v>258</v>
      </c>
    </row>
    <row r="26" customFormat="false" ht="15" hidden="false" customHeight="true" outlineLevel="0" collapsed="false">
      <c r="A26" s="24" t="n">
        <v>25</v>
      </c>
      <c r="B26" s="20" t="s">
        <v>70</v>
      </c>
      <c r="C26" s="22" t="s">
        <v>259</v>
      </c>
      <c r="D26" s="22" t="s">
        <v>260</v>
      </c>
      <c r="E26" s="22" t="s">
        <v>261</v>
      </c>
      <c r="F26" s="22" t="s">
        <v>262</v>
      </c>
      <c r="G26" s="20" t="s">
        <v>127</v>
      </c>
      <c r="H26" s="9"/>
      <c r="I26" s="9"/>
      <c r="J26" s="16"/>
      <c r="K26" s="20" t="s">
        <v>128</v>
      </c>
      <c r="L26" s="22" t="s">
        <v>141</v>
      </c>
      <c r="M26" s="22" t="s">
        <v>180</v>
      </c>
      <c r="N26" s="22" t="s">
        <v>74</v>
      </c>
      <c r="O26" s="20" t="s">
        <v>263</v>
      </c>
    </row>
    <row r="27" customFormat="false" ht="15" hidden="false" customHeight="true" outlineLevel="0" collapsed="false">
      <c r="A27" s="24" t="n">
        <v>26</v>
      </c>
      <c r="B27" s="20" t="s">
        <v>70</v>
      </c>
      <c r="C27" s="22" t="s">
        <v>264</v>
      </c>
      <c r="D27" s="22" t="s">
        <v>265</v>
      </c>
      <c r="E27" s="22" t="s">
        <v>266</v>
      </c>
      <c r="F27" s="20" t="s">
        <v>267</v>
      </c>
      <c r="G27" s="20" t="s">
        <v>127</v>
      </c>
      <c r="H27" s="9"/>
      <c r="I27" s="9"/>
      <c r="J27" s="16"/>
      <c r="K27" s="20" t="s">
        <v>128</v>
      </c>
      <c r="L27" s="22" t="s">
        <v>174</v>
      </c>
      <c r="M27" s="22" t="s">
        <v>180</v>
      </c>
      <c r="N27" s="22" t="s">
        <v>74</v>
      </c>
      <c r="O27" s="20" t="s">
        <v>268</v>
      </c>
    </row>
    <row r="28" customFormat="false" ht="15" hidden="false" customHeight="true" outlineLevel="0" collapsed="false">
      <c r="A28" s="24" t="n">
        <v>27</v>
      </c>
      <c r="B28" s="20" t="s">
        <v>70</v>
      </c>
      <c r="C28" s="22" t="s">
        <v>269</v>
      </c>
      <c r="D28" s="22" t="s">
        <v>270</v>
      </c>
      <c r="E28" s="22" t="s">
        <v>271</v>
      </c>
      <c r="F28" s="22" t="s">
        <v>272</v>
      </c>
      <c r="G28" s="20" t="s">
        <v>214</v>
      </c>
      <c r="H28" s="9"/>
      <c r="I28" s="9"/>
      <c r="J28" s="16"/>
      <c r="K28" s="20" t="s">
        <v>128</v>
      </c>
      <c r="L28" s="22" t="s">
        <v>273</v>
      </c>
      <c r="M28" s="22" t="s">
        <v>216</v>
      </c>
      <c r="N28" s="22" t="s">
        <v>74</v>
      </c>
      <c r="O28" s="20" t="s">
        <v>274</v>
      </c>
    </row>
    <row r="29" customFormat="false" ht="15" hidden="false" customHeight="true" outlineLevel="0" collapsed="false">
      <c r="A29" s="24" t="n">
        <v>28</v>
      </c>
      <c r="B29" s="20" t="s">
        <v>70</v>
      </c>
      <c r="C29" s="22" t="s">
        <v>275</v>
      </c>
      <c r="D29" s="22" t="s">
        <v>276</v>
      </c>
      <c r="E29" s="22" t="s">
        <v>277</v>
      </c>
      <c r="F29" s="20" t="s">
        <v>278</v>
      </c>
      <c r="G29" s="20" t="s">
        <v>214</v>
      </c>
      <c r="H29" s="9"/>
      <c r="I29" s="9"/>
      <c r="J29" s="16"/>
      <c r="K29" s="20" t="s">
        <v>128</v>
      </c>
      <c r="L29" s="22" t="s">
        <v>208</v>
      </c>
      <c r="M29" s="22" t="s">
        <v>216</v>
      </c>
      <c r="N29" s="22" t="s">
        <v>74</v>
      </c>
      <c r="O29" s="20" t="s">
        <v>279</v>
      </c>
    </row>
    <row r="30" customFormat="false" ht="15" hidden="false" customHeight="true" outlineLevel="0" collapsed="false">
      <c r="A30" s="24" t="n">
        <v>29</v>
      </c>
      <c r="B30" s="20" t="s">
        <v>70</v>
      </c>
      <c r="C30" s="22" t="s">
        <v>280</v>
      </c>
      <c r="D30" s="22" t="s">
        <v>281</v>
      </c>
      <c r="E30" s="22" t="s">
        <v>280</v>
      </c>
      <c r="F30" s="20" t="s">
        <v>282</v>
      </c>
      <c r="G30" s="20" t="s">
        <v>214</v>
      </c>
      <c r="H30" s="9"/>
      <c r="I30" s="9"/>
      <c r="J30" s="16"/>
      <c r="K30" s="20" t="s">
        <v>128</v>
      </c>
      <c r="L30" s="22" t="s">
        <v>283</v>
      </c>
      <c r="M30" s="22" t="s">
        <v>216</v>
      </c>
      <c r="N30" s="22" t="s">
        <v>74</v>
      </c>
      <c r="O30" s="20" t="s">
        <v>279</v>
      </c>
    </row>
    <row r="31" customFormat="false" ht="15" hidden="false" customHeight="true" outlineLevel="0" collapsed="false">
      <c r="A31" s="24" t="n">
        <v>30</v>
      </c>
      <c r="B31" s="20" t="s">
        <v>70</v>
      </c>
      <c r="C31" s="22" t="s">
        <v>284</v>
      </c>
      <c r="D31" s="22" t="s">
        <v>285</v>
      </c>
      <c r="E31" s="22" t="s">
        <v>286</v>
      </c>
      <c r="F31" s="22"/>
      <c r="G31" s="20" t="s">
        <v>287</v>
      </c>
      <c r="H31" s="9"/>
      <c r="I31" s="9"/>
      <c r="J31" s="16"/>
      <c r="K31" s="20" t="s">
        <v>128</v>
      </c>
      <c r="L31" s="22" t="s">
        <v>240</v>
      </c>
      <c r="M31" s="22" t="s">
        <v>180</v>
      </c>
      <c r="N31" s="22" t="s">
        <v>74</v>
      </c>
      <c r="O31" s="20" t="s">
        <v>288</v>
      </c>
    </row>
    <row r="32" customFormat="false" ht="15" hidden="false" customHeight="true" outlineLevel="0" collapsed="false">
      <c r="A32" s="24" t="n">
        <v>31</v>
      </c>
      <c r="B32" s="20" t="s">
        <v>70</v>
      </c>
      <c r="C32" s="22" t="s">
        <v>289</v>
      </c>
      <c r="D32" s="22" t="s">
        <v>290</v>
      </c>
      <c r="E32" s="22" t="s">
        <v>291</v>
      </c>
      <c r="F32" s="22"/>
      <c r="G32" s="20" t="s">
        <v>287</v>
      </c>
      <c r="H32" s="9"/>
      <c r="I32" s="9"/>
      <c r="J32" s="16"/>
      <c r="K32" s="20" t="s">
        <v>128</v>
      </c>
      <c r="L32" s="22" t="s">
        <v>192</v>
      </c>
      <c r="M32" s="22" t="s">
        <v>180</v>
      </c>
      <c r="N32" s="22" t="s">
        <v>74</v>
      </c>
      <c r="O32" s="20" t="s">
        <v>288</v>
      </c>
    </row>
    <row r="33" customFormat="false" ht="15" hidden="false" customHeight="true" outlineLevel="0" collapsed="false">
      <c r="A33" s="24" t="n">
        <v>32</v>
      </c>
      <c r="B33" s="20" t="s">
        <v>70</v>
      </c>
      <c r="C33" s="22" t="s">
        <v>292</v>
      </c>
      <c r="D33" s="22" t="s">
        <v>293</v>
      </c>
      <c r="E33" s="22" t="s">
        <v>294</v>
      </c>
      <c r="F33" s="22"/>
      <c r="G33" s="20" t="s">
        <v>287</v>
      </c>
      <c r="H33" s="9"/>
      <c r="I33" s="9"/>
      <c r="J33" s="16"/>
      <c r="K33" s="20" t="s">
        <v>128</v>
      </c>
      <c r="L33" s="22" t="s">
        <v>295</v>
      </c>
      <c r="M33" s="22" t="s">
        <v>180</v>
      </c>
      <c r="N33" s="22" t="s">
        <v>74</v>
      </c>
      <c r="O33" s="20" t="s">
        <v>296</v>
      </c>
    </row>
    <row r="34" customFormat="false" ht="15" hidden="false" customHeight="true" outlineLevel="0" collapsed="false">
      <c r="A34" s="24" t="n">
        <v>33</v>
      </c>
      <c r="B34" s="20" t="s">
        <v>70</v>
      </c>
      <c r="C34" s="22" t="s">
        <v>297</v>
      </c>
      <c r="D34" s="22" t="s">
        <v>298</v>
      </c>
      <c r="E34" s="22" t="s">
        <v>299</v>
      </c>
      <c r="F34" s="22"/>
      <c r="G34" s="20" t="s">
        <v>287</v>
      </c>
      <c r="H34" s="9"/>
      <c r="I34" s="9"/>
      <c r="J34" s="16"/>
      <c r="K34" s="20" t="s">
        <v>128</v>
      </c>
      <c r="L34" s="22" t="s">
        <v>165</v>
      </c>
      <c r="M34" s="22" t="s">
        <v>180</v>
      </c>
      <c r="N34" s="22" t="s">
        <v>74</v>
      </c>
      <c r="O34" s="20" t="s">
        <v>300</v>
      </c>
    </row>
    <row r="35" customFormat="false" ht="15" hidden="false" customHeight="true" outlineLevel="0" collapsed="false">
      <c r="A35" s="24" t="n">
        <v>34</v>
      </c>
      <c r="B35" s="20" t="s">
        <v>70</v>
      </c>
      <c r="C35" s="22" t="s">
        <v>301</v>
      </c>
      <c r="D35" s="22" t="s">
        <v>302</v>
      </c>
      <c r="E35" s="22" t="s">
        <v>303</v>
      </c>
      <c r="F35" s="22"/>
      <c r="G35" s="20" t="s">
        <v>287</v>
      </c>
      <c r="H35" s="9"/>
      <c r="I35" s="9"/>
      <c r="J35" s="16"/>
      <c r="K35" s="20" t="s">
        <v>128</v>
      </c>
      <c r="L35" s="22" t="s">
        <v>304</v>
      </c>
      <c r="M35" s="22" t="s">
        <v>180</v>
      </c>
      <c r="N35" s="22" t="s">
        <v>74</v>
      </c>
      <c r="O35" s="20" t="s">
        <v>305</v>
      </c>
    </row>
    <row r="36" customFormat="false" ht="15" hidden="false" customHeight="true" outlineLevel="0" collapsed="false">
      <c r="A36" s="24" t="n">
        <v>35</v>
      </c>
      <c r="B36" s="20" t="s">
        <v>70</v>
      </c>
      <c r="C36" s="22" t="s">
        <v>306</v>
      </c>
      <c r="D36" s="22" t="s">
        <v>307</v>
      </c>
      <c r="E36" s="22" t="s">
        <v>308</v>
      </c>
      <c r="F36" s="22"/>
      <c r="G36" s="20" t="s">
        <v>287</v>
      </c>
      <c r="H36" s="9"/>
      <c r="I36" s="9"/>
      <c r="J36" s="16"/>
      <c r="K36" s="20" t="s">
        <v>128</v>
      </c>
      <c r="L36" s="22" t="s">
        <v>309</v>
      </c>
      <c r="M36" s="22" t="s">
        <v>180</v>
      </c>
      <c r="N36" s="22" t="s">
        <v>74</v>
      </c>
      <c r="O36" s="20" t="s">
        <v>310</v>
      </c>
    </row>
    <row r="37" customFormat="false" ht="15" hidden="false" customHeight="true" outlineLevel="0" collapsed="false">
      <c r="A37" s="24" t="n">
        <v>36</v>
      </c>
      <c r="B37" s="20" t="s">
        <v>70</v>
      </c>
      <c r="C37" s="22" t="s">
        <v>311</v>
      </c>
      <c r="D37" s="22" t="s">
        <v>312</v>
      </c>
      <c r="E37" s="22" t="s">
        <v>311</v>
      </c>
      <c r="F37" s="22"/>
      <c r="G37" s="20" t="s">
        <v>287</v>
      </c>
      <c r="H37" s="9"/>
      <c r="I37" s="9"/>
      <c r="J37" s="16"/>
      <c r="K37" s="20" t="s">
        <v>128</v>
      </c>
      <c r="L37" s="22" t="s">
        <v>313</v>
      </c>
      <c r="M37" s="22" t="s">
        <v>180</v>
      </c>
      <c r="N37" s="22" t="s">
        <v>74</v>
      </c>
      <c r="O37" s="20" t="s">
        <v>314</v>
      </c>
    </row>
    <row r="38" customFormat="false" ht="15" hidden="false" customHeight="true" outlineLevel="0" collapsed="false">
      <c r="A38" s="24" t="n">
        <v>37</v>
      </c>
      <c r="B38" s="20" t="s">
        <v>70</v>
      </c>
      <c r="C38" s="22" t="s">
        <v>315</v>
      </c>
      <c r="D38" s="22" t="s">
        <v>316</v>
      </c>
      <c r="E38" s="22" t="s">
        <v>315</v>
      </c>
      <c r="F38" s="22"/>
      <c r="G38" s="20" t="s">
        <v>287</v>
      </c>
      <c r="H38" s="9"/>
      <c r="I38" s="9"/>
      <c r="J38" s="16"/>
      <c r="K38" s="20" t="s">
        <v>128</v>
      </c>
      <c r="L38" s="22" t="s">
        <v>246</v>
      </c>
      <c r="M38" s="22" t="s">
        <v>180</v>
      </c>
      <c r="N38" s="22" t="s">
        <v>74</v>
      </c>
      <c r="O38" s="20" t="s">
        <v>317</v>
      </c>
    </row>
    <row r="39" customFormat="false" ht="15" hidden="false" customHeight="true" outlineLevel="0" collapsed="false">
      <c r="A39" s="24" t="n">
        <v>38</v>
      </c>
      <c r="B39" s="20" t="s">
        <v>70</v>
      </c>
      <c r="C39" s="20" t="s">
        <v>318</v>
      </c>
      <c r="D39" s="22" t="s">
        <v>319</v>
      </c>
      <c r="E39" s="22" t="s">
        <v>320</v>
      </c>
      <c r="F39" s="22"/>
      <c r="G39" s="20" t="s">
        <v>287</v>
      </c>
      <c r="H39" s="9"/>
      <c r="I39" s="9"/>
      <c r="J39" s="16"/>
      <c r="K39" s="20" t="s">
        <v>128</v>
      </c>
      <c r="L39" s="22" t="s">
        <v>321</v>
      </c>
      <c r="M39" s="22" t="s">
        <v>180</v>
      </c>
      <c r="N39" s="22" t="s">
        <v>74</v>
      </c>
      <c r="O39" s="20" t="s">
        <v>322</v>
      </c>
    </row>
    <row r="40" customFormat="false" ht="15" hidden="false" customHeight="true" outlineLevel="0" collapsed="false">
      <c r="A40" s="24" t="n">
        <v>39</v>
      </c>
      <c r="B40" s="20" t="s">
        <v>70</v>
      </c>
      <c r="C40" s="22" t="s">
        <v>323</v>
      </c>
      <c r="D40" s="22" t="s">
        <v>324</v>
      </c>
      <c r="E40" s="22" t="s">
        <v>325</v>
      </c>
      <c r="F40" s="22" t="s">
        <v>326</v>
      </c>
      <c r="G40" s="20" t="s">
        <v>127</v>
      </c>
      <c r="H40" s="9"/>
      <c r="I40" s="9"/>
      <c r="J40" s="16"/>
      <c r="K40" s="20" t="s">
        <v>128</v>
      </c>
      <c r="L40" s="22" t="s">
        <v>174</v>
      </c>
      <c r="M40" s="22" t="s">
        <v>180</v>
      </c>
      <c r="N40" s="22" t="s">
        <v>74</v>
      </c>
      <c r="O40" s="20" t="s">
        <v>327</v>
      </c>
    </row>
    <row r="41" customFormat="false" ht="15" hidden="false" customHeight="true" outlineLevel="0" collapsed="false">
      <c r="A41" s="19" t="str">
        <f aca="false">IF(C41="","",ROW()-1)</f>
        <v/>
      </c>
      <c r="B41" s="22"/>
      <c r="C41" s="22"/>
      <c r="D41" s="22"/>
      <c r="E41" s="22"/>
      <c r="F41" s="22"/>
      <c r="G41" s="20"/>
      <c r="H41" s="9"/>
      <c r="I41" s="9"/>
      <c r="J41" s="16"/>
      <c r="K41" s="22"/>
      <c r="L41" s="22"/>
      <c r="M41" s="22"/>
      <c r="N41" s="22"/>
      <c r="O41" s="22"/>
    </row>
    <row r="42" customFormat="false" ht="15" hidden="false" customHeight="true" outlineLevel="0" collapsed="false">
      <c r="A42" s="19" t="str">
        <f aca="false">IF(C42="","",ROW()-1)</f>
        <v/>
      </c>
      <c r="B42" s="22"/>
      <c r="C42" s="22"/>
      <c r="D42" s="22"/>
      <c r="E42" s="22"/>
      <c r="F42" s="22"/>
      <c r="G42" s="20"/>
      <c r="H42" s="9"/>
      <c r="I42" s="9"/>
      <c r="J42" s="16"/>
      <c r="K42" s="22"/>
      <c r="L42" s="22"/>
      <c r="M42" s="22"/>
      <c r="N42" s="22"/>
      <c r="O42" s="22"/>
    </row>
    <row r="43" customFormat="false" ht="15" hidden="false" customHeight="true" outlineLevel="0" collapsed="false">
      <c r="A43" s="19" t="str">
        <f aca="false">IF(C43="","",ROW()-1)</f>
        <v/>
      </c>
      <c r="B43" s="22"/>
      <c r="C43" s="22"/>
      <c r="D43" s="22"/>
      <c r="E43" s="22"/>
      <c r="F43" s="22"/>
      <c r="G43" s="20"/>
      <c r="H43" s="9"/>
      <c r="I43" s="9"/>
      <c r="J43" s="16"/>
      <c r="K43" s="22"/>
      <c r="L43" s="22"/>
      <c r="M43" s="22"/>
      <c r="N43" s="22"/>
      <c r="O43" s="22"/>
    </row>
    <row r="44" customFormat="false" ht="15" hidden="false" customHeight="true" outlineLevel="0" collapsed="false">
      <c r="A44" s="19" t="str">
        <f aca="false">IF(C44="","",ROW()-1)</f>
        <v/>
      </c>
      <c r="B44" s="22"/>
      <c r="C44" s="22"/>
      <c r="D44" s="22"/>
      <c r="E44" s="22"/>
      <c r="F44" s="22"/>
      <c r="G44" s="20"/>
      <c r="H44" s="9"/>
      <c r="I44" s="9"/>
      <c r="J44" s="16"/>
      <c r="K44" s="22"/>
      <c r="L44" s="22"/>
      <c r="M44" s="22"/>
      <c r="N44" s="22"/>
      <c r="O44" s="22"/>
    </row>
    <row r="45" customFormat="false" ht="15" hidden="false" customHeight="true" outlineLevel="0" collapsed="false">
      <c r="A45" s="19" t="str">
        <f aca="false">IF(C45="","",ROW()-1)</f>
        <v/>
      </c>
      <c r="B45" s="22"/>
      <c r="C45" s="22"/>
      <c r="D45" s="22"/>
      <c r="E45" s="22"/>
      <c r="F45" s="22"/>
      <c r="G45" s="20"/>
      <c r="H45" s="9"/>
      <c r="I45" s="9"/>
      <c r="J45" s="16"/>
      <c r="K45" s="22"/>
      <c r="L45" s="22"/>
      <c r="M45" s="22"/>
      <c r="N45" s="22"/>
      <c r="O45" s="22"/>
    </row>
    <row r="46" customFormat="false" ht="15" hidden="false" customHeight="true" outlineLevel="0" collapsed="false">
      <c r="A46" s="19" t="str">
        <f aca="false">IF(C46="","",ROW()-1)</f>
        <v/>
      </c>
      <c r="B46" s="22"/>
      <c r="C46" s="22"/>
      <c r="D46" s="22"/>
      <c r="E46" s="22"/>
      <c r="F46" s="22"/>
      <c r="G46" s="20"/>
      <c r="H46" s="9"/>
      <c r="I46" s="9"/>
      <c r="J46" s="16"/>
      <c r="K46" s="22"/>
      <c r="L46" s="22"/>
      <c r="M46" s="22"/>
      <c r="N46" s="22"/>
      <c r="O46" s="22"/>
    </row>
    <row r="47" customFormat="false" ht="15" hidden="false" customHeight="true" outlineLevel="0" collapsed="false">
      <c r="A47" s="19" t="str">
        <f aca="false">IF(C47="","",ROW()-1)</f>
        <v/>
      </c>
      <c r="B47" s="22"/>
      <c r="C47" s="22"/>
      <c r="D47" s="22"/>
      <c r="E47" s="22"/>
      <c r="F47" s="22"/>
      <c r="G47" s="20"/>
      <c r="H47" s="9"/>
      <c r="I47" s="9"/>
      <c r="J47" s="16"/>
      <c r="K47" s="22"/>
      <c r="L47" s="22"/>
      <c r="M47" s="22"/>
      <c r="N47" s="22"/>
      <c r="O47" s="22"/>
    </row>
    <row r="48" customFormat="false" ht="15" hidden="false" customHeight="true" outlineLevel="0" collapsed="false">
      <c r="A48" s="19" t="str">
        <f aca="false">IF(C48="","",ROW()-1)</f>
        <v/>
      </c>
      <c r="B48" s="22"/>
      <c r="C48" s="22"/>
      <c r="D48" s="22"/>
      <c r="E48" s="22"/>
      <c r="F48" s="22"/>
      <c r="G48" s="20"/>
      <c r="H48" s="9"/>
      <c r="I48" s="9"/>
      <c r="J48" s="16"/>
      <c r="K48" s="22"/>
      <c r="L48" s="22"/>
      <c r="M48" s="22"/>
      <c r="N48" s="22"/>
      <c r="O48" s="22"/>
    </row>
    <row r="49" customFormat="false" ht="15" hidden="false" customHeight="true" outlineLevel="0" collapsed="false">
      <c r="A49" s="19" t="str">
        <f aca="false">IF(C49="","",ROW()-1)</f>
        <v/>
      </c>
      <c r="B49" s="22"/>
      <c r="C49" s="22"/>
      <c r="D49" s="22"/>
      <c r="E49" s="22"/>
      <c r="F49" s="22"/>
      <c r="G49" s="20"/>
      <c r="H49" s="9"/>
      <c r="I49" s="9"/>
      <c r="J49" s="16"/>
      <c r="K49" s="22"/>
      <c r="L49" s="22"/>
      <c r="M49" s="22"/>
      <c r="N49" s="22"/>
      <c r="O49" s="22"/>
    </row>
    <row r="50" customFormat="false" ht="15" hidden="false" customHeight="true" outlineLevel="0" collapsed="false">
      <c r="A50" s="19" t="str">
        <f aca="false">IF(C50="","",ROW()-1)</f>
        <v/>
      </c>
      <c r="B50" s="22"/>
      <c r="C50" s="22"/>
      <c r="D50" s="22"/>
      <c r="E50" s="22"/>
      <c r="F50" s="22"/>
      <c r="G50" s="20"/>
      <c r="H50" s="9"/>
      <c r="I50" s="9"/>
      <c r="J50" s="16"/>
      <c r="K50" s="22"/>
      <c r="L50" s="22"/>
      <c r="M50" s="22"/>
      <c r="N50" s="22"/>
      <c r="O50" s="22"/>
    </row>
    <row r="51" customFormat="false" ht="15" hidden="false" customHeight="true" outlineLevel="0" collapsed="false">
      <c r="A51" s="19" t="str">
        <f aca="false">IF(C51="","",ROW()-1)</f>
        <v/>
      </c>
      <c r="B51" s="22"/>
      <c r="C51" s="22"/>
      <c r="D51" s="22"/>
      <c r="E51" s="22"/>
      <c r="F51" s="22"/>
      <c r="G51" s="20"/>
      <c r="H51" s="9"/>
      <c r="I51" s="9"/>
      <c r="J51" s="16"/>
      <c r="K51" s="22"/>
      <c r="L51" s="22"/>
      <c r="M51" s="22"/>
      <c r="N51" s="22"/>
      <c r="O51" s="22"/>
    </row>
    <row r="52" customFormat="false" ht="15" hidden="false" customHeight="true" outlineLevel="0" collapsed="false">
      <c r="A52" s="19" t="str">
        <f aca="false">IF(C52="","",ROW()-1)</f>
        <v/>
      </c>
      <c r="B52" s="22"/>
      <c r="C52" s="22"/>
      <c r="D52" s="22"/>
      <c r="E52" s="22"/>
      <c r="F52" s="22"/>
      <c r="G52" s="20"/>
      <c r="H52" s="9"/>
      <c r="I52" s="9"/>
      <c r="J52" s="16"/>
      <c r="K52" s="22"/>
      <c r="L52" s="22"/>
      <c r="M52" s="22"/>
      <c r="N52" s="22"/>
      <c r="O52" s="22"/>
    </row>
    <row r="53" customFormat="false" ht="15" hidden="false" customHeight="true" outlineLevel="0" collapsed="false">
      <c r="A53" s="19" t="str">
        <f aca="false">IF(C53="","",ROW()-1)</f>
        <v/>
      </c>
      <c r="B53" s="22"/>
      <c r="C53" s="22"/>
      <c r="D53" s="22"/>
      <c r="E53" s="22"/>
      <c r="F53" s="22"/>
      <c r="G53" s="20"/>
      <c r="H53" s="9"/>
      <c r="I53" s="9"/>
      <c r="J53" s="16"/>
      <c r="K53" s="22"/>
      <c r="L53" s="22"/>
      <c r="M53" s="22"/>
      <c r="N53" s="22"/>
      <c r="O53" s="22"/>
    </row>
    <row r="54" customFormat="false" ht="15" hidden="false" customHeight="true" outlineLevel="0" collapsed="false">
      <c r="A54" s="19" t="str">
        <f aca="false">IF(C54="","",ROW()-1)</f>
        <v/>
      </c>
      <c r="B54" s="22"/>
      <c r="C54" s="22"/>
      <c r="D54" s="22"/>
      <c r="E54" s="22"/>
      <c r="F54" s="22"/>
      <c r="G54" s="20"/>
      <c r="H54" s="9"/>
      <c r="I54" s="9"/>
      <c r="J54" s="16"/>
      <c r="K54" s="22"/>
      <c r="L54" s="22"/>
      <c r="M54" s="22"/>
      <c r="N54" s="22"/>
      <c r="O54" s="22"/>
    </row>
    <row r="55" customFormat="false" ht="15" hidden="false" customHeight="true" outlineLevel="0" collapsed="false">
      <c r="A55" s="19" t="str">
        <f aca="false">IF(C55="","",ROW()-1)</f>
        <v/>
      </c>
      <c r="B55" s="22"/>
      <c r="C55" s="22"/>
      <c r="D55" s="22"/>
      <c r="E55" s="22"/>
      <c r="F55" s="22"/>
      <c r="G55" s="20"/>
      <c r="H55" s="9"/>
      <c r="I55" s="9"/>
      <c r="J55" s="16"/>
      <c r="K55" s="22"/>
      <c r="L55" s="22"/>
      <c r="M55" s="22"/>
      <c r="N55" s="22"/>
      <c r="O55" s="22"/>
    </row>
    <row r="56" customFormat="false" ht="15" hidden="false" customHeight="true" outlineLevel="0" collapsed="false">
      <c r="A56" s="19" t="str">
        <f aca="false">IF(C56="","",ROW()-1)</f>
        <v/>
      </c>
      <c r="B56" s="22"/>
      <c r="C56" s="22"/>
      <c r="D56" s="22"/>
      <c r="E56" s="22"/>
      <c r="F56" s="22"/>
      <c r="G56" s="20"/>
      <c r="H56" s="9"/>
      <c r="I56" s="9"/>
      <c r="J56" s="16"/>
      <c r="K56" s="22"/>
      <c r="L56" s="22"/>
      <c r="M56" s="22"/>
      <c r="N56" s="22"/>
      <c r="O56" s="22"/>
    </row>
    <row r="57" customFormat="false" ht="15" hidden="false" customHeight="true" outlineLevel="0" collapsed="false">
      <c r="A57" s="19" t="str">
        <f aca="false">IF(C57="","",ROW()-1)</f>
        <v/>
      </c>
      <c r="B57" s="22"/>
      <c r="C57" s="22"/>
      <c r="D57" s="22"/>
      <c r="E57" s="22"/>
      <c r="F57" s="22"/>
      <c r="G57" s="20"/>
      <c r="H57" s="9"/>
      <c r="I57" s="9"/>
      <c r="J57" s="16"/>
      <c r="K57" s="22"/>
      <c r="L57" s="22"/>
      <c r="M57" s="22"/>
      <c r="N57" s="22"/>
      <c r="O57" s="22"/>
    </row>
    <row r="58" customFormat="false" ht="15" hidden="false" customHeight="true" outlineLevel="0" collapsed="false">
      <c r="A58" s="19" t="str">
        <f aca="false">IF(C58="","",ROW()-1)</f>
        <v/>
      </c>
      <c r="B58" s="22"/>
      <c r="C58" s="22"/>
      <c r="D58" s="22"/>
      <c r="E58" s="22"/>
      <c r="F58" s="22"/>
      <c r="G58" s="20"/>
      <c r="H58" s="9"/>
      <c r="I58" s="9"/>
      <c r="J58" s="16"/>
      <c r="K58" s="22"/>
      <c r="L58" s="22"/>
      <c r="M58" s="22"/>
      <c r="N58" s="22"/>
      <c r="O58" s="22"/>
    </row>
    <row r="59" customFormat="false" ht="15" hidden="false" customHeight="true" outlineLevel="0" collapsed="false">
      <c r="A59" s="19" t="str">
        <f aca="false">IF(C59="","",ROW()-1)</f>
        <v/>
      </c>
      <c r="B59" s="22"/>
      <c r="C59" s="22"/>
      <c r="D59" s="22"/>
      <c r="E59" s="22"/>
      <c r="F59" s="22"/>
      <c r="G59" s="20"/>
      <c r="H59" s="9"/>
      <c r="I59" s="9"/>
      <c r="J59" s="16"/>
      <c r="K59" s="22"/>
      <c r="L59" s="22"/>
      <c r="M59" s="22"/>
      <c r="N59" s="22"/>
      <c r="O59" s="22"/>
    </row>
    <row r="60" customFormat="false" ht="15" hidden="false" customHeight="true" outlineLevel="0" collapsed="false">
      <c r="A60" s="19" t="str">
        <f aca="false">IF(C60="","",ROW()-1)</f>
        <v/>
      </c>
      <c r="B60" s="22"/>
      <c r="C60" s="22"/>
      <c r="D60" s="22"/>
      <c r="E60" s="22"/>
      <c r="F60" s="22"/>
      <c r="G60" s="20"/>
      <c r="H60" s="9"/>
      <c r="I60" s="9"/>
      <c r="J60" s="16"/>
      <c r="K60" s="22"/>
      <c r="L60" s="22"/>
      <c r="M60" s="22"/>
      <c r="N60" s="22"/>
      <c r="O60" s="22"/>
    </row>
    <row r="61" customFormat="false" ht="15" hidden="false" customHeight="true" outlineLevel="0" collapsed="false">
      <c r="A61" s="19" t="str">
        <f aca="false">IF(C61="","",ROW()-1)</f>
        <v/>
      </c>
      <c r="B61" s="22"/>
      <c r="C61" s="22"/>
      <c r="D61" s="22"/>
      <c r="E61" s="22"/>
      <c r="F61" s="22"/>
      <c r="G61" s="20"/>
      <c r="H61" s="9"/>
      <c r="I61" s="9"/>
      <c r="J61" s="16"/>
      <c r="K61" s="22"/>
      <c r="L61" s="22"/>
      <c r="M61" s="22"/>
      <c r="N61" s="22"/>
      <c r="O61" s="22"/>
    </row>
    <row r="62" customFormat="false" ht="15" hidden="false" customHeight="true" outlineLevel="0" collapsed="false">
      <c r="A62" s="19" t="str">
        <f aca="false">IF(C62="","",ROW()-1)</f>
        <v/>
      </c>
      <c r="B62" s="22"/>
      <c r="C62" s="22"/>
      <c r="D62" s="22"/>
      <c r="E62" s="22"/>
      <c r="F62" s="22"/>
      <c r="G62" s="20"/>
      <c r="H62" s="9"/>
      <c r="I62" s="9"/>
      <c r="J62" s="16"/>
      <c r="K62" s="22"/>
      <c r="L62" s="22"/>
      <c r="M62" s="22"/>
      <c r="N62" s="22"/>
      <c r="O62" s="22"/>
    </row>
    <row r="63" customFormat="false" ht="15" hidden="false" customHeight="true" outlineLevel="0" collapsed="false">
      <c r="A63" s="19" t="str">
        <f aca="false">IF(C63="","",ROW()-1)</f>
        <v/>
      </c>
      <c r="B63" s="22"/>
      <c r="C63" s="22"/>
      <c r="D63" s="22"/>
      <c r="E63" s="22"/>
      <c r="F63" s="22"/>
      <c r="G63" s="20"/>
      <c r="H63" s="9"/>
      <c r="I63" s="9"/>
      <c r="J63" s="16"/>
      <c r="K63" s="22"/>
      <c r="L63" s="22"/>
      <c r="M63" s="22"/>
      <c r="N63" s="22"/>
      <c r="O63" s="22"/>
    </row>
    <row r="64" customFormat="false" ht="15" hidden="false" customHeight="true" outlineLevel="0" collapsed="false">
      <c r="A64" s="19" t="str">
        <f aca="false">IF(C64="","",ROW()-1)</f>
        <v/>
      </c>
      <c r="B64" s="22"/>
      <c r="C64" s="22"/>
      <c r="D64" s="22"/>
      <c r="E64" s="22"/>
      <c r="F64" s="22"/>
      <c r="G64" s="20"/>
      <c r="H64" s="9"/>
      <c r="I64" s="9"/>
      <c r="J64" s="16"/>
      <c r="K64" s="22"/>
      <c r="L64" s="22"/>
      <c r="M64" s="22"/>
      <c r="N64" s="22"/>
      <c r="O64" s="22"/>
    </row>
    <row r="65" customFormat="false" ht="15" hidden="false" customHeight="true" outlineLevel="0" collapsed="false">
      <c r="A65" s="19" t="str">
        <f aca="false">IF(C65="","",ROW()-1)</f>
        <v/>
      </c>
      <c r="B65" s="22"/>
      <c r="C65" s="22"/>
      <c r="D65" s="22"/>
      <c r="E65" s="22"/>
      <c r="F65" s="22"/>
      <c r="G65" s="20"/>
      <c r="H65" s="9"/>
      <c r="I65" s="9"/>
      <c r="J65" s="16"/>
      <c r="K65" s="22"/>
      <c r="L65" s="22"/>
      <c r="M65" s="22"/>
      <c r="N65" s="22"/>
      <c r="O65" s="22"/>
    </row>
    <row r="66" customFormat="false" ht="15" hidden="false" customHeight="true" outlineLevel="0" collapsed="false">
      <c r="A66" s="19" t="str">
        <f aca="false">IF(C66="","",ROW()-1)</f>
        <v/>
      </c>
      <c r="B66" s="22"/>
      <c r="C66" s="22"/>
      <c r="D66" s="22"/>
      <c r="E66" s="22"/>
      <c r="F66" s="22"/>
      <c r="G66" s="20"/>
      <c r="H66" s="9"/>
      <c r="I66" s="9"/>
      <c r="J66" s="16"/>
      <c r="K66" s="22"/>
      <c r="L66" s="22"/>
      <c r="M66" s="22"/>
      <c r="N66" s="22"/>
      <c r="O66" s="22"/>
    </row>
    <row r="67" customFormat="false" ht="15" hidden="false" customHeight="true" outlineLevel="0" collapsed="false">
      <c r="A67" s="19" t="str">
        <f aca="false">IF(C67="","",ROW()-1)</f>
        <v/>
      </c>
      <c r="B67" s="22"/>
      <c r="C67" s="22"/>
      <c r="D67" s="22"/>
      <c r="E67" s="22"/>
      <c r="F67" s="22"/>
      <c r="G67" s="20"/>
      <c r="H67" s="9"/>
      <c r="I67" s="9"/>
      <c r="J67" s="16"/>
      <c r="K67" s="22"/>
      <c r="L67" s="22"/>
      <c r="M67" s="22"/>
      <c r="N67" s="22"/>
      <c r="O67" s="22"/>
    </row>
    <row r="68" customFormat="false" ht="15" hidden="false" customHeight="true" outlineLevel="0" collapsed="false">
      <c r="A68" s="19" t="str">
        <f aca="false">IF(C68="","",ROW()-1)</f>
        <v/>
      </c>
      <c r="B68" s="22"/>
      <c r="C68" s="22"/>
      <c r="D68" s="22"/>
      <c r="E68" s="22"/>
      <c r="F68" s="22"/>
      <c r="G68" s="20"/>
      <c r="H68" s="9"/>
      <c r="I68" s="9"/>
      <c r="J68" s="16"/>
      <c r="K68" s="22"/>
      <c r="L68" s="22"/>
      <c r="M68" s="22"/>
      <c r="N68" s="22"/>
      <c r="O68" s="22"/>
    </row>
    <row r="69" customFormat="false" ht="15" hidden="false" customHeight="true" outlineLevel="0" collapsed="false">
      <c r="A69" s="19" t="str">
        <f aca="false">IF(C69="","",ROW()-1)</f>
        <v/>
      </c>
      <c r="B69" s="22"/>
      <c r="C69" s="22"/>
      <c r="D69" s="22"/>
      <c r="E69" s="22"/>
      <c r="F69" s="22"/>
      <c r="G69" s="20"/>
      <c r="H69" s="9"/>
      <c r="I69" s="9"/>
      <c r="J69" s="16"/>
      <c r="K69" s="22"/>
      <c r="L69" s="22"/>
      <c r="M69" s="22"/>
      <c r="N69" s="22"/>
      <c r="O69" s="22"/>
    </row>
    <row r="70" customFormat="false" ht="15" hidden="false" customHeight="true" outlineLevel="0" collapsed="false">
      <c r="A70" s="19" t="str">
        <f aca="false">IF(C70="","",ROW()-1)</f>
        <v/>
      </c>
      <c r="B70" s="22"/>
      <c r="C70" s="22"/>
      <c r="D70" s="22"/>
      <c r="E70" s="22"/>
      <c r="F70" s="22"/>
      <c r="G70" s="20"/>
      <c r="H70" s="9"/>
      <c r="I70" s="9"/>
      <c r="J70" s="16"/>
      <c r="K70" s="22"/>
      <c r="L70" s="22"/>
      <c r="M70" s="22"/>
      <c r="N70" s="22"/>
      <c r="O70" s="22"/>
    </row>
    <row r="71" customFormat="false" ht="15" hidden="false" customHeight="true" outlineLevel="0" collapsed="false">
      <c r="A71" s="19" t="str">
        <f aca="false">IF(C71="","",ROW()-1)</f>
        <v/>
      </c>
      <c r="B71" s="22"/>
      <c r="C71" s="22"/>
      <c r="D71" s="22"/>
      <c r="E71" s="22"/>
      <c r="F71" s="22"/>
      <c r="G71" s="20"/>
      <c r="H71" s="9"/>
      <c r="I71" s="9"/>
      <c r="J71" s="16"/>
      <c r="K71" s="22"/>
      <c r="L71" s="22"/>
      <c r="M71" s="22"/>
      <c r="N71" s="22"/>
      <c r="O71" s="22"/>
    </row>
    <row r="72" customFormat="false" ht="15" hidden="false" customHeight="true" outlineLevel="0" collapsed="false">
      <c r="A72" s="19" t="str">
        <f aca="false">IF(C72="","",ROW()-1)</f>
        <v/>
      </c>
      <c r="B72" s="22"/>
      <c r="C72" s="22"/>
      <c r="D72" s="22"/>
      <c r="E72" s="22"/>
      <c r="F72" s="22"/>
      <c r="G72" s="20"/>
      <c r="H72" s="9"/>
      <c r="I72" s="9"/>
      <c r="J72" s="16"/>
      <c r="K72" s="22"/>
      <c r="L72" s="22"/>
      <c r="M72" s="22"/>
      <c r="N72" s="22"/>
      <c r="O72" s="22"/>
    </row>
    <row r="73" customFormat="false" ht="15" hidden="false" customHeight="true" outlineLevel="0" collapsed="false">
      <c r="A73" s="19" t="str">
        <f aca="false">IF(C73="","",ROW()-1)</f>
        <v/>
      </c>
      <c r="B73" s="22"/>
      <c r="C73" s="22"/>
      <c r="D73" s="22"/>
      <c r="E73" s="22"/>
      <c r="F73" s="22"/>
      <c r="G73" s="20"/>
      <c r="H73" s="9"/>
      <c r="I73" s="9"/>
      <c r="J73" s="16"/>
      <c r="K73" s="22"/>
      <c r="L73" s="22"/>
      <c r="M73" s="22"/>
      <c r="N73" s="22"/>
      <c r="O73" s="22"/>
    </row>
    <row r="74" customFormat="false" ht="15" hidden="false" customHeight="true" outlineLevel="0" collapsed="false">
      <c r="A74" s="19" t="str">
        <f aca="false">IF(C74="","",ROW()-1)</f>
        <v/>
      </c>
      <c r="B74" s="22"/>
      <c r="C74" s="22"/>
      <c r="D74" s="22"/>
      <c r="E74" s="22"/>
      <c r="F74" s="22"/>
      <c r="G74" s="20"/>
      <c r="H74" s="9"/>
      <c r="I74" s="9"/>
      <c r="J74" s="16"/>
      <c r="K74" s="22"/>
      <c r="L74" s="22"/>
      <c r="M74" s="22"/>
      <c r="N74" s="22"/>
      <c r="O74" s="22"/>
    </row>
    <row r="75" customFormat="false" ht="15" hidden="false" customHeight="true" outlineLevel="0" collapsed="false">
      <c r="A75" s="19" t="str">
        <f aca="false">IF(C75="","",ROW()-1)</f>
        <v/>
      </c>
      <c r="B75" s="22"/>
      <c r="C75" s="22"/>
      <c r="D75" s="22"/>
      <c r="E75" s="22"/>
      <c r="F75" s="22"/>
      <c r="G75" s="20"/>
      <c r="H75" s="9"/>
      <c r="I75" s="9"/>
      <c r="J75" s="16"/>
      <c r="K75" s="22"/>
      <c r="L75" s="22"/>
      <c r="M75" s="22"/>
      <c r="N75" s="22"/>
      <c r="O75" s="22"/>
    </row>
    <row r="76" customFormat="false" ht="15" hidden="false" customHeight="true" outlineLevel="0" collapsed="false">
      <c r="A76" s="19" t="str">
        <f aca="false">IF(C76="","",ROW()-1)</f>
        <v/>
      </c>
      <c r="B76" s="22"/>
      <c r="C76" s="22"/>
      <c r="D76" s="22"/>
      <c r="E76" s="22"/>
      <c r="F76" s="22"/>
      <c r="G76" s="20"/>
      <c r="H76" s="9"/>
      <c r="I76" s="9"/>
      <c r="J76" s="16"/>
      <c r="K76" s="22"/>
      <c r="L76" s="22"/>
      <c r="M76" s="22"/>
      <c r="N76" s="22"/>
      <c r="O76" s="22"/>
    </row>
    <row r="77" customFormat="false" ht="15" hidden="false" customHeight="true" outlineLevel="0" collapsed="false">
      <c r="A77" s="19" t="str">
        <f aca="false">IF(C77="","",ROW()-1)</f>
        <v/>
      </c>
      <c r="B77" s="22"/>
      <c r="C77" s="22"/>
      <c r="D77" s="22"/>
      <c r="E77" s="22"/>
      <c r="F77" s="22"/>
      <c r="G77" s="20"/>
      <c r="H77" s="9"/>
      <c r="I77" s="9"/>
      <c r="J77" s="16"/>
      <c r="K77" s="22"/>
      <c r="L77" s="22"/>
      <c r="M77" s="22"/>
      <c r="N77" s="22"/>
      <c r="O77" s="22"/>
    </row>
    <row r="78" customFormat="false" ht="15" hidden="false" customHeight="true" outlineLevel="0" collapsed="false">
      <c r="A78" s="19" t="str">
        <f aca="false">IF(C78="","",ROW()-1)</f>
        <v/>
      </c>
      <c r="B78" s="22"/>
      <c r="C78" s="22"/>
      <c r="D78" s="22"/>
      <c r="E78" s="22"/>
      <c r="F78" s="22"/>
      <c r="G78" s="20"/>
      <c r="H78" s="9"/>
      <c r="I78" s="9"/>
      <c r="J78" s="16"/>
      <c r="K78" s="22"/>
      <c r="L78" s="22"/>
      <c r="M78" s="22"/>
      <c r="N78" s="22"/>
      <c r="O78" s="22"/>
    </row>
    <row r="79" customFormat="false" ht="15" hidden="false" customHeight="true" outlineLevel="0" collapsed="false">
      <c r="A79" s="19" t="str">
        <f aca="false">IF(C79="","",ROW()-1)</f>
        <v/>
      </c>
      <c r="B79" s="22"/>
      <c r="C79" s="22"/>
      <c r="D79" s="22"/>
      <c r="E79" s="22"/>
      <c r="F79" s="22"/>
      <c r="G79" s="20"/>
      <c r="H79" s="9"/>
      <c r="I79" s="9"/>
      <c r="J79" s="16"/>
      <c r="K79" s="22"/>
      <c r="L79" s="22"/>
      <c r="M79" s="22"/>
      <c r="N79" s="22"/>
      <c r="O79" s="22"/>
    </row>
    <row r="80" customFormat="false" ht="15" hidden="false" customHeight="true" outlineLevel="0" collapsed="false">
      <c r="A80" s="19" t="str">
        <f aca="false">IF(C80="","",ROW()-1)</f>
        <v/>
      </c>
      <c r="B80" s="22"/>
      <c r="C80" s="22"/>
      <c r="D80" s="22"/>
      <c r="E80" s="22"/>
      <c r="F80" s="22"/>
      <c r="G80" s="20"/>
      <c r="H80" s="9"/>
      <c r="I80" s="9"/>
      <c r="J80" s="16"/>
      <c r="K80" s="22"/>
      <c r="L80" s="22"/>
      <c r="M80" s="22"/>
      <c r="N80" s="22"/>
      <c r="O80" s="22"/>
    </row>
    <row r="81" customFormat="false" ht="15" hidden="false" customHeight="true" outlineLevel="0" collapsed="false">
      <c r="A81" s="19" t="str">
        <f aca="false">IF(C81="","",ROW()-1)</f>
        <v/>
      </c>
      <c r="B81" s="22"/>
      <c r="C81" s="22"/>
      <c r="D81" s="22"/>
      <c r="E81" s="22"/>
      <c r="F81" s="22"/>
      <c r="G81" s="20"/>
      <c r="H81" s="9"/>
      <c r="I81" s="9"/>
      <c r="J81" s="16"/>
      <c r="K81" s="22"/>
      <c r="L81" s="22"/>
      <c r="M81" s="22"/>
      <c r="N81" s="22"/>
      <c r="O81" s="22"/>
    </row>
    <row r="82" customFormat="false" ht="15" hidden="false" customHeight="true" outlineLevel="0" collapsed="false">
      <c r="A82" s="19" t="str">
        <f aca="false">IF(C82="","",ROW()-1)</f>
        <v/>
      </c>
      <c r="B82" s="22"/>
      <c r="C82" s="22"/>
      <c r="D82" s="22"/>
      <c r="E82" s="22"/>
      <c r="F82" s="22"/>
      <c r="G82" s="20"/>
      <c r="H82" s="9"/>
      <c r="I82" s="9"/>
      <c r="J82" s="16"/>
      <c r="K82" s="22"/>
      <c r="L82" s="22"/>
      <c r="M82" s="22"/>
      <c r="N82" s="22"/>
      <c r="O82" s="22"/>
    </row>
    <row r="83" customFormat="false" ht="15" hidden="false" customHeight="true" outlineLevel="0" collapsed="false">
      <c r="A83" s="19" t="str">
        <f aca="false">IF(C83="","",ROW()-1)</f>
        <v/>
      </c>
      <c r="B83" s="22"/>
      <c r="C83" s="22"/>
      <c r="D83" s="22"/>
      <c r="E83" s="22"/>
      <c r="F83" s="22"/>
      <c r="G83" s="20"/>
      <c r="H83" s="9"/>
      <c r="I83" s="9"/>
      <c r="J83" s="16"/>
      <c r="K83" s="22"/>
      <c r="L83" s="22"/>
      <c r="M83" s="22"/>
      <c r="N83" s="22"/>
      <c r="O83" s="22"/>
    </row>
    <row r="84" customFormat="false" ht="15" hidden="false" customHeight="true" outlineLevel="0" collapsed="false">
      <c r="A84" s="19" t="str">
        <f aca="false">IF(C84="","",ROW()-1)</f>
        <v/>
      </c>
      <c r="B84" s="22"/>
      <c r="C84" s="22"/>
      <c r="D84" s="22"/>
      <c r="E84" s="22"/>
      <c r="F84" s="22"/>
      <c r="G84" s="20"/>
      <c r="H84" s="9"/>
      <c r="I84" s="9"/>
      <c r="J84" s="16"/>
      <c r="K84" s="22"/>
      <c r="L84" s="22"/>
      <c r="M84" s="22"/>
      <c r="N84" s="22"/>
      <c r="O84" s="22"/>
    </row>
    <row r="85" customFormat="false" ht="15" hidden="false" customHeight="true" outlineLevel="0" collapsed="false">
      <c r="A85" s="19" t="str">
        <f aca="false">IF(C85="","",ROW()-1)</f>
        <v/>
      </c>
      <c r="B85" s="22"/>
      <c r="C85" s="22"/>
      <c r="D85" s="22"/>
      <c r="E85" s="22"/>
      <c r="F85" s="22"/>
      <c r="G85" s="20"/>
      <c r="H85" s="9"/>
      <c r="I85" s="9"/>
      <c r="J85" s="16"/>
      <c r="K85" s="22"/>
      <c r="L85" s="22"/>
      <c r="M85" s="22"/>
      <c r="N85" s="22"/>
      <c r="O85" s="22"/>
    </row>
    <row r="86" customFormat="false" ht="15" hidden="false" customHeight="true" outlineLevel="0" collapsed="false">
      <c r="A86" s="19" t="str">
        <f aca="false">IF(C86="","",ROW()-1)</f>
        <v/>
      </c>
      <c r="B86" s="22"/>
      <c r="C86" s="22"/>
      <c r="D86" s="22"/>
      <c r="E86" s="22"/>
      <c r="F86" s="22"/>
      <c r="G86" s="20"/>
      <c r="H86" s="9"/>
      <c r="I86" s="9"/>
      <c r="J86" s="16"/>
      <c r="K86" s="22"/>
      <c r="L86" s="22"/>
      <c r="M86" s="22"/>
      <c r="N86" s="22"/>
      <c r="O86" s="22"/>
    </row>
    <row r="87" customFormat="false" ht="15" hidden="false" customHeight="true" outlineLevel="0" collapsed="false">
      <c r="A87" s="19" t="str">
        <f aca="false">IF(C87="","",ROW()-1)</f>
        <v/>
      </c>
      <c r="B87" s="22"/>
      <c r="C87" s="22"/>
      <c r="D87" s="22"/>
      <c r="E87" s="22"/>
      <c r="F87" s="22"/>
      <c r="G87" s="20"/>
      <c r="H87" s="9"/>
      <c r="I87" s="9"/>
      <c r="J87" s="16"/>
      <c r="K87" s="22"/>
      <c r="L87" s="22"/>
      <c r="M87" s="22"/>
      <c r="N87" s="22"/>
      <c r="O87" s="22"/>
    </row>
    <row r="88" customFormat="false" ht="15" hidden="false" customHeight="true" outlineLevel="0" collapsed="false">
      <c r="A88" s="19" t="str">
        <f aca="false">IF(C88="","",ROW()-1)</f>
        <v/>
      </c>
      <c r="B88" s="22"/>
      <c r="C88" s="22"/>
      <c r="D88" s="22"/>
      <c r="E88" s="22"/>
      <c r="F88" s="22"/>
      <c r="G88" s="20"/>
      <c r="H88" s="9"/>
      <c r="I88" s="9"/>
      <c r="J88" s="16"/>
      <c r="K88" s="22"/>
      <c r="L88" s="22"/>
      <c r="M88" s="22"/>
      <c r="N88" s="22"/>
      <c r="O88" s="22"/>
    </row>
    <row r="89" customFormat="false" ht="15" hidden="false" customHeight="true" outlineLevel="0" collapsed="false">
      <c r="A89" s="19" t="str">
        <f aca="false">IF(C89="","",ROW()-1)</f>
        <v/>
      </c>
      <c r="B89" s="22"/>
      <c r="C89" s="22"/>
      <c r="D89" s="22"/>
      <c r="E89" s="22"/>
      <c r="F89" s="22"/>
      <c r="G89" s="20"/>
      <c r="H89" s="9"/>
      <c r="I89" s="9"/>
      <c r="J89" s="16"/>
      <c r="K89" s="22"/>
      <c r="L89" s="22"/>
      <c r="M89" s="22"/>
      <c r="N89" s="22"/>
      <c r="O89" s="22"/>
    </row>
    <row r="90" customFormat="false" ht="15" hidden="false" customHeight="true" outlineLevel="0" collapsed="false">
      <c r="A90" s="19" t="str">
        <f aca="false">IF(C90="","",ROW()-1)</f>
        <v/>
      </c>
      <c r="B90" s="22"/>
      <c r="C90" s="22"/>
      <c r="D90" s="22"/>
      <c r="E90" s="22"/>
      <c r="F90" s="22"/>
      <c r="G90" s="20"/>
      <c r="H90" s="9"/>
      <c r="I90" s="9"/>
      <c r="J90" s="16"/>
      <c r="K90" s="22"/>
      <c r="L90" s="22"/>
      <c r="M90" s="22"/>
      <c r="N90" s="22"/>
      <c r="O90" s="22"/>
    </row>
    <row r="91" customFormat="false" ht="15" hidden="false" customHeight="true" outlineLevel="0" collapsed="false">
      <c r="A91" s="19" t="str">
        <f aca="false">IF(C91="","",ROW()-1)</f>
        <v/>
      </c>
      <c r="B91" s="22"/>
      <c r="C91" s="22"/>
      <c r="D91" s="22"/>
      <c r="E91" s="22"/>
      <c r="F91" s="22"/>
      <c r="G91" s="20"/>
      <c r="H91" s="9"/>
      <c r="I91" s="9"/>
      <c r="J91" s="16"/>
      <c r="K91" s="22"/>
      <c r="L91" s="22"/>
      <c r="M91" s="22"/>
      <c r="N91" s="22"/>
      <c r="O91" s="22"/>
    </row>
    <row r="92" customFormat="false" ht="15" hidden="false" customHeight="true" outlineLevel="0" collapsed="false">
      <c r="A92" s="19" t="str">
        <f aca="false">IF(C92="","",ROW()-1)</f>
        <v/>
      </c>
      <c r="B92" s="22"/>
      <c r="C92" s="22"/>
      <c r="D92" s="22"/>
      <c r="E92" s="22"/>
      <c r="F92" s="22"/>
      <c r="G92" s="20"/>
      <c r="H92" s="9"/>
      <c r="I92" s="9"/>
      <c r="J92" s="16"/>
      <c r="K92" s="22"/>
      <c r="L92" s="22"/>
      <c r="M92" s="22"/>
      <c r="N92" s="22"/>
      <c r="O92" s="22"/>
    </row>
    <row r="93" customFormat="false" ht="15" hidden="false" customHeight="true" outlineLevel="0" collapsed="false">
      <c r="A93" s="19" t="str">
        <f aca="false">IF(C93="","",ROW()-1)</f>
        <v/>
      </c>
      <c r="B93" s="22"/>
      <c r="C93" s="22"/>
      <c r="D93" s="22"/>
      <c r="E93" s="22"/>
      <c r="F93" s="22"/>
      <c r="G93" s="20"/>
      <c r="H93" s="9"/>
      <c r="I93" s="9"/>
      <c r="J93" s="16"/>
      <c r="K93" s="22"/>
      <c r="L93" s="22"/>
      <c r="M93" s="22"/>
      <c r="N93" s="22"/>
      <c r="O93" s="22"/>
    </row>
    <row r="94" customFormat="false" ht="15" hidden="false" customHeight="true" outlineLevel="0" collapsed="false">
      <c r="A94" s="19" t="str">
        <f aca="false">IF(C94="","",ROW()-1)</f>
        <v/>
      </c>
      <c r="B94" s="22"/>
      <c r="C94" s="22"/>
      <c r="D94" s="22"/>
      <c r="E94" s="22"/>
      <c r="F94" s="22"/>
      <c r="G94" s="20"/>
      <c r="H94" s="9"/>
      <c r="I94" s="9"/>
      <c r="J94" s="16"/>
      <c r="K94" s="22"/>
      <c r="L94" s="22"/>
      <c r="M94" s="22"/>
      <c r="N94" s="22"/>
      <c r="O94" s="22"/>
    </row>
    <row r="95" customFormat="false" ht="15" hidden="false" customHeight="true" outlineLevel="0" collapsed="false">
      <c r="A95" s="19" t="str">
        <f aca="false">IF(C95="","",ROW()-1)</f>
        <v/>
      </c>
      <c r="B95" s="22"/>
      <c r="C95" s="22"/>
      <c r="D95" s="22"/>
      <c r="E95" s="22"/>
      <c r="F95" s="22"/>
      <c r="G95" s="20"/>
      <c r="H95" s="9"/>
      <c r="I95" s="9"/>
      <c r="J95" s="16"/>
      <c r="K95" s="22"/>
      <c r="L95" s="22"/>
      <c r="M95" s="22"/>
      <c r="N95" s="22"/>
      <c r="O95" s="22"/>
    </row>
    <row r="96" customFormat="false" ht="15" hidden="false" customHeight="true" outlineLevel="0" collapsed="false">
      <c r="A96" s="19" t="str">
        <f aca="false">IF(C96="","",ROW()-1)</f>
        <v/>
      </c>
      <c r="B96" s="22"/>
      <c r="C96" s="22"/>
      <c r="D96" s="22"/>
      <c r="E96" s="22"/>
      <c r="F96" s="22"/>
      <c r="G96" s="20"/>
      <c r="H96" s="9"/>
      <c r="I96" s="9"/>
      <c r="J96" s="16"/>
      <c r="K96" s="22"/>
      <c r="L96" s="22"/>
      <c r="M96" s="22"/>
      <c r="N96" s="22"/>
      <c r="O96" s="22"/>
    </row>
    <row r="97" customFormat="false" ht="15" hidden="false" customHeight="true" outlineLevel="0" collapsed="false">
      <c r="A97" s="19" t="str">
        <f aca="false">IF(C97="","",ROW()-1)</f>
        <v/>
      </c>
      <c r="B97" s="22"/>
      <c r="C97" s="22"/>
      <c r="D97" s="22"/>
      <c r="E97" s="22"/>
      <c r="F97" s="22"/>
      <c r="G97" s="20"/>
      <c r="H97" s="9"/>
      <c r="I97" s="9"/>
      <c r="J97" s="16"/>
      <c r="K97" s="22"/>
      <c r="L97" s="22"/>
      <c r="M97" s="22"/>
      <c r="N97" s="22"/>
      <c r="O97" s="22"/>
    </row>
    <row r="98" customFormat="false" ht="15" hidden="false" customHeight="true" outlineLevel="0" collapsed="false">
      <c r="A98" s="19" t="str">
        <f aca="false">IF(C98="","",ROW()-1)</f>
        <v/>
      </c>
      <c r="B98" s="22"/>
      <c r="C98" s="22"/>
      <c r="D98" s="22"/>
      <c r="E98" s="22"/>
      <c r="F98" s="22"/>
      <c r="G98" s="20"/>
      <c r="H98" s="9"/>
      <c r="I98" s="9"/>
      <c r="J98" s="16"/>
      <c r="K98" s="22"/>
      <c r="L98" s="22"/>
      <c r="M98" s="22"/>
      <c r="N98" s="22"/>
      <c r="O98" s="22"/>
    </row>
    <row r="99" customFormat="false" ht="15" hidden="false" customHeight="true" outlineLevel="0" collapsed="false">
      <c r="A99" s="19" t="str">
        <f aca="false">IF(C99="","",ROW()-1)</f>
        <v/>
      </c>
      <c r="B99" s="22"/>
      <c r="C99" s="22"/>
      <c r="D99" s="22"/>
      <c r="E99" s="22"/>
      <c r="F99" s="22"/>
      <c r="G99" s="20"/>
      <c r="H99" s="9"/>
      <c r="I99" s="9"/>
      <c r="J99" s="16"/>
      <c r="K99" s="22"/>
      <c r="L99" s="22"/>
      <c r="M99" s="22"/>
      <c r="N99" s="22"/>
      <c r="O99" s="22"/>
    </row>
    <row r="100" customFormat="false" ht="15" hidden="false" customHeight="true" outlineLevel="0" collapsed="false">
      <c r="A100" s="19" t="str">
        <f aca="false">IF(C100="","",ROW()-1)</f>
        <v/>
      </c>
      <c r="B100" s="22"/>
      <c r="C100" s="22"/>
      <c r="D100" s="22"/>
      <c r="E100" s="22"/>
      <c r="F100" s="22"/>
      <c r="G100" s="20"/>
      <c r="H100" s="9"/>
      <c r="I100" s="9"/>
      <c r="J100" s="16"/>
      <c r="K100" s="22"/>
      <c r="L100" s="22"/>
      <c r="M100" s="22"/>
      <c r="N100" s="22"/>
      <c r="O100" s="22"/>
    </row>
    <row r="101" customFormat="false" ht="15" hidden="false" customHeight="true" outlineLevel="0" collapsed="false">
      <c r="A101" s="19" t="str">
        <f aca="false">IF(C101="","",ROW()-1)</f>
        <v/>
      </c>
      <c r="B101" s="22"/>
      <c r="C101" s="22"/>
      <c r="D101" s="22"/>
      <c r="E101" s="22"/>
      <c r="F101" s="22"/>
      <c r="G101" s="20"/>
      <c r="H101" s="9"/>
      <c r="I101" s="9"/>
      <c r="J101" s="16"/>
      <c r="K101" s="22"/>
      <c r="L101" s="22"/>
      <c r="M101" s="22"/>
      <c r="N101" s="22"/>
      <c r="O101" s="22"/>
    </row>
    <row r="102" customFormat="false" ht="15" hidden="false" customHeight="true" outlineLevel="0" collapsed="false">
      <c r="A102" s="19" t="str">
        <f aca="false">IF(C102="","",ROW()-1)</f>
        <v/>
      </c>
      <c r="B102" s="22"/>
      <c r="C102" s="22"/>
      <c r="D102" s="22"/>
      <c r="E102" s="22"/>
      <c r="F102" s="22"/>
      <c r="G102" s="20"/>
      <c r="H102" s="9"/>
      <c r="I102" s="9"/>
      <c r="J102" s="16"/>
      <c r="K102" s="22"/>
      <c r="L102" s="22"/>
      <c r="M102" s="22"/>
      <c r="N102" s="22"/>
      <c r="O102" s="22"/>
    </row>
    <row r="103" customFormat="false" ht="15" hidden="false" customHeight="true" outlineLevel="0" collapsed="false">
      <c r="A103" s="19" t="str">
        <f aca="false">IF(C103="","",ROW()-1)</f>
        <v/>
      </c>
      <c r="B103" s="22"/>
      <c r="C103" s="22"/>
      <c r="D103" s="22"/>
      <c r="E103" s="22"/>
      <c r="F103" s="22"/>
      <c r="G103" s="20"/>
      <c r="H103" s="9"/>
      <c r="I103" s="9"/>
      <c r="J103" s="16"/>
      <c r="K103" s="22"/>
      <c r="L103" s="22"/>
      <c r="M103" s="22"/>
      <c r="N103" s="22"/>
      <c r="O103" s="22"/>
    </row>
    <row r="104" customFormat="false" ht="15" hidden="false" customHeight="true" outlineLevel="0" collapsed="false">
      <c r="A104" s="19" t="str">
        <f aca="false">IF(C104="","",ROW()-1)</f>
        <v/>
      </c>
      <c r="B104" s="22"/>
      <c r="C104" s="22"/>
      <c r="D104" s="22"/>
      <c r="E104" s="22"/>
      <c r="F104" s="22"/>
      <c r="G104" s="20"/>
      <c r="H104" s="9"/>
      <c r="I104" s="9"/>
      <c r="J104" s="16"/>
      <c r="K104" s="22"/>
      <c r="L104" s="22"/>
      <c r="M104" s="22"/>
      <c r="N104" s="22"/>
      <c r="O104" s="22"/>
    </row>
    <row r="105" customFormat="false" ht="15" hidden="false" customHeight="true" outlineLevel="0" collapsed="false">
      <c r="A105" s="19" t="str">
        <f aca="false">IF(C105="","",ROW()-1)</f>
        <v/>
      </c>
      <c r="B105" s="22"/>
      <c r="C105" s="22"/>
      <c r="D105" s="22"/>
      <c r="E105" s="22"/>
      <c r="F105" s="22"/>
      <c r="G105" s="20"/>
      <c r="H105" s="9"/>
      <c r="I105" s="9"/>
      <c r="J105" s="16"/>
      <c r="K105" s="22"/>
      <c r="L105" s="22"/>
      <c r="M105" s="22"/>
      <c r="N105" s="22"/>
      <c r="O105" s="22"/>
    </row>
    <row r="106" customFormat="false" ht="15" hidden="false" customHeight="true" outlineLevel="0" collapsed="false">
      <c r="A106" s="19" t="str">
        <f aca="false">IF(C106="","",ROW()-1)</f>
        <v/>
      </c>
      <c r="B106" s="22"/>
      <c r="C106" s="22"/>
      <c r="D106" s="22"/>
      <c r="E106" s="22"/>
      <c r="F106" s="22"/>
      <c r="G106" s="20"/>
      <c r="H106" s="9"/>
      <c r="I106" s="9"/>
      <c r="J106" s="16"/>
      <c r="K106" s="22"/>
      <c r="L106" s="22"/>
      <c r="M106" s="22"/>
      <c r="N106" s="22"/>
      <c r="O106" s="22"/>
    </row>
    <row r="107" customFormat="false" ht="15" hidden="false" customHeight="true" outlineLevel="0" collapsed="false">
      <c r="A107" s="19" t="str">
        <f aca="false">IF(C107="","",ROW()-1)</f>
        <v/>
      </c>
      <c r="B107" s="22"/>
      <c r="C107" s="22"/>
      <c r="D107" s="22"/>
      <c r="E107" s="22"/>
      <c r="F107" s="22"/>
      <c r="G107" s="20"/>
      <c r="H107" s="9"/>
      <c r="I107" s="9"/>
      <c r="J107" s="16"/>
      <c r="K107" s="22"/>
      <c r="L107" s="22"/>
      <c r="M107" s="22"/>
      <c r="N107" s="22"/>
      <c r="O107" s="22"/>
    </row>
    <row r="108" customFormat="false" ht="15" hidden="false" customHeight="true" outlineLevel="0" collapsed="false">
      <c r="A108" s="19" t="str">
        <f aca="false">IF(C108="","",ROW()-1)</f>
        <v/>
      </c>
      <c r="B108" s="22"/>
      <c r="C108" s="22"/>
      <c r="D108" s="22"/>
      <c r="E108" s="22"/>
      <c r="F108" s="22"/>
      <c r="G108" s="20"/>
      <c r="H108" s="9"/>
      <c r="I108" s="9"/>
      <c r="J108" s="16"/>
      <c r="K108" s="22"/>
      <c r="L108" s="22"/>
      <c r="M108" s="22"/>
      <c r="N108" s="22"/>
      <c r="O108" s="22"/>
    </row>
    <row r="109" customFormat="false" ht="15" hidden="false" customHeight="true" outlineLevel="0" collapsed="false">
      <c r="A109" s="19" t="str">
        <f aca="false">IF(C109="","",ROW()-1)</f>
        <v/>
      </c>
      <c r="B109" s="22"/>
      <c r="C109" s="22"/>
      <c r="D109" s="22"/>
      <c r="E109" s="22"/>
      <c r="F109" s="22"/>
      <c r="G109" s="20"/>
      <c r="H109" s="9"/>
      <c r="I109" s="9"/>
      <c r="J109" s="16"/>
      <c r="K109" s="22"/>
      <c r="L109" s="22"/>
      <c r="M109" s="22"/>
      <c r="N109" s="22"/>
      <c r="O109" s="22"/>
    </row>
    <row r="110" customFormat="false" ht="15" hidden="false" customHeight="true" outlineLevel="0" collapsed="false">
      <c r="A110" s="19" t="str">
        <f aca="false">IF(C110="","",ROW()-1)</f>
        <v/>
      </c>
      <c r="B110" s="22"/>
      <c r="C110" s="22"/>
      <c r="D110" s="22"/>
      <c r="E110" s="22"/>
      <c r="F110" s="22"/>
      <c r="G110" s="20"/>
      <c r="H110" s="9"/>
      <c r="I110" s="9"/>
      <c r="J110" s="16"/>
      <c r="K110" s="22"/>
      <c r="L110" s="22"/>
      <c r="M110" s="22"/>
      <c r="N110" s="22"/>
      <c r="O110" s="22"/>
    </row>
    <row r="111" customFormat="false" ht="15" hidden="false" customHeight="true" outlineLevel="0" collapsed="false">
      <c r="A111" s="19" t="str">
        <f aca="false">IF(C111="","",ROW()-1)</f>
        <v/>
      </c>
      <c r="B111" s="22"/>
      <c r="C111" s="22"/>
      <c r="D111" s="22"/>
      <c r="E111" s="22"/>
      <c r="F111" s="22"/>
      <c r="G111" s="20"/>
      <c r="H111" s="9"/>
      <c r="I111" s="9"/>
      <c r="J111" s="16"/>
      <c r="K111" s="22"/>
      <c r="L111" s="22"/>
      <c r="M111" s="22"/>
      <c r="N111" s="22"/>
      <c r="O111" s="22"/>
    </row>
    <row r="112" customFormat="false" ht="15" hidden="false" customHeight="true" outlineLevel="0" collapsed="false">
      <c r="A112" s="19" t="str">
        <f aca="false">IF(C112="","",ROW()-1)</f>
        <v/>
      </c>
      <c r="B112" s="22"/>
      <c r="C112" s="22"/>
      <c r="D112" s="22"/>
      <c r="E112" s="22"/>
      <c r="F112" s="22"/>
      <c r="G112" s="20"/>
      <c r="H112" s="9"/>
      <c r="I112" s="9"/>
      <c r="J112" s="16"/>
      <c r="K112" s="22"/>
      <c r="L112" s="22"/>
      <c r="M112" s="22"/>
      <c r="N112" s="22"/>
      <c r="O112" s="22"/>
    </row>
    <row r="113" customFormat="false" ht="15" hidden="false" customHeight="true" outlineLevel="0" collapsed="false">
      <c r="A113" s="19" t="str">
        <f aca="false">IF(C113="","",ROW()-1)</f>
        <v/>
      </c>
      <c r="B113" s="22"/>
      <c r="C113" s="22"/>
      <c r="D113" s="22"/>
      <c r="E113" s="22"/>
      <c r="F113" s="22"/>
      <c r="G113" s="20"/>
      <c r="H113" s="9"/>
      <c r="I113" s="9"/>
      <c r="J113" s="16"/>
      <c r="K113" s="22"/>
      <c r="L113" s="22"/>
      <c r="M113" s="22"/>
      <c r="N113" s="22"/>
      <c r="O113" s="22"/>
    </row>
    <row r="114" customFormat="false" ht="15" hidden="false" customHeight="true" outlineLevel="0" collapsed="false">
      <c r="A114" s="19" t="str">
        <f aca="false">IF(C114="","",ROW()-1)</f>
        <v/>
      </c>
      <c r="B114" s="22"/>
      <c r="C114" s="22"/>
      <c r="D114" s="22"/>
      <c r="E114" s="22"/>
      <c r="F114" s="22"/>
      <c r="G114" s="20"/>
      <c r="H114" s="9"/>
      <c r="I114" s="9"/>
      <c r="J114" s="16"/>
      <c r="K114" s="22"/>
      <c r="L114" s="22"/>
      <c r="M114" s="22"/>
      <c r="N114" s="22"/>
      <c r="O114" s="22"/>
    </row>
    <row r="115" customFormat="false" ht="15" hidden="false" customHeight="true" outlineLevel="0" collapsed="false">
      <c r="A115" s="19" t="str">
        <f aca="false">IF(C115="","",ROW()-1)</f>
        <v/>
      </c>
      <c r="B115" s="22"/>
      <c r="C115" s="22"/>
      <c r="D115" s="22"/>
      <c r="E115" s="22"/>
      <c r="F115" s="22"/>
      <c r="G115" s="20"/>
      <c r="H115" s="9"/>
      <c r="I115" s="9"/>
      <c r="J115" s="16"/>
      <c r="K115" s="22"/>
      <c r="L115" s="22"/>
      <c r="M115" s="22"/>
      <c r="N115" s="22"/>
      <c r="O115" s="22"/>
    </row>
    <row r="116" customFormat="false" ht="15" hidden="false" customHeight="true" outlineLevel="0" collapsed="false">
      <c r="A116" s="19" t="str">
        <f aca="false">IF(C116="","",ROW()-1)</f>
        <v/>
      </c>
      <c r="B116" s="22"/>
      <c r="C116" s="22"/>
      <c r="D116" s="22"/>
      <c r="E116" s="22"/>
      <c r="F116" s="22"/>
      <c r="G116" s="20"/>
      <c r="H116" s="9"/>
      <c r="I116" s="9"/>
      <c r="J116" s="16"/>
      <c r="K116" s="22"/>
      <c r="L116" s="22"/>
      <c r="M116" s="22"/>
      <c r="N116" s="22"/>
      <c r="O116" s="22"/>
    </row>
    <row r="117" customFormat="false" ht="15" hidden="false" customHeight="true" outlineLevel="0" collapsed="false">
      <c r="A117" s="19" t="str">
        <f aca="false">IF(C117="","",ROW()-1)</f>
        <v/>
      </c>
      <c r="B117" s="22"/>
      <c r="C117" s="22"/>
      <c r="D117" s="22"/>
      <c r="E117" s="22"/>
      <c r="F117" s="22"/>
      <c r="G117" s="20"/>
      <c r="H117" s="9"/>
      <c r="I117" s="9"/>
      <c r="J117" s="16"/>
      <c r="K117" s="22"/>
      <c r="L117" s="22"/>
      <c r="M117" s="22"/>
      <c r="N117" s="22"/>
      <c r="O117" s="22"/>
    </row>
    <row r="118" customFormat="false" ht="15" hidden="false" customHeight="true" outlineLevel="0" collapsed="false">
      <c r="A118" s="19" t="str">
        <f aca="false">IF(C118="","",ROW()-1)</f>
        <v/>
      </c>
      <c r="B118" s="22"/>
      <c r="C118" s="22"/>
      <c r="D118" s="22"/>
      <c r="E118" s="22"/>
      <c r="F118" s="22"/>
      <c r="G118" s="20"/>
      <c r="H118" s="9"/>
      <c r="I118" s="9"/>
      <c r="J118" s="16"/>
      <c r="K118" s="22"/>
      <c r="L118" s="22"/>
      <c r="M118" s="22"/>
      <c r="N118" s="22"/>
      <c r="O118" s="22"/>
    </row>
    <row r="119" customFormat="false" ht="15" hidden="false" customHeight="true" outlineLevel="0" collapsed="false">
      <c r="A119" s="19" t="str">
        <f aca="false">IF(C119="","",ROW()-1)</f>
        <v/>
      </c>
      <c r="B119" s="22"/>
      <c r="C119" s="22"/>
      <c r="D119" s="22"/>
      <c r="E119" s="22"/>
      <c r="F119" s="22"/>
      <c r="G119" s="20"/>
      <c r="H119" s="9"/>
      <c r="I119" s="9"/>
      <c r="J119" s="16"/>
      <c r="K119" s="22"/>
      <c r="L119" s="22"/>
      <c r="M119" s="22"/>
      <c r="N119" s="22"/>
      <c r="O119" s="22"/>
    </row>
    <row r="120" customFormat="false" ht="15" hidden="false" customHeight="true" outlineLevel="0" collapsed="false">
      <c r="A120" s="19" t="str">
        <f aca="false">IF(C120="","",ROW()-1)</f>
        <v/>
      </c>
      <c r="B120" s="22"/>
      <c r="C120" s="22"/>
      <c r="D120" s="22"/>
      <c r="E120" s="22"/>
      <c r="F120" s="22"/>
      <c r="G120" s="20"/>
      <c r="H120" s="9"/>
      <c r="I120" s="9"/>
      <c r="J120" s="16"/>
      <c r="K120" s="22"/>
      <c r="L120" s="22"/>
      <c r="M120" s="22"/>
      <c r="N120" s="22"/>
      <c r="O120" s="22"/>
    </row>
    <row r="121" customFormat="false" ht="15" hidden="false" customHeight="true" outlineLevel="0" collapsed="false">
      <c r="A121" s="19" t="str">
        <f aca="false">IF(C121="","",ROW()-1)</f>
        <v/>
      </c>
      <c r="B121" s="22"/>
      <c r="C121" s="22"/>
      <c r="D121" s="22"/>
      <c r="E121" s="22"/>
      <c r="F121" s="22"/>
      <c r="G121" s="20"/>
      <c r="H121" s="9"/>
      <c r="I121" s="9"/>
      <c r="J121" s="16"/>
      <c r="K121" s="22"/>
      <c r="L121" s="22"/>
      <c r="M121" s="22"/>
      <c r="N121" s="22"/>
      <c r="O121" s="22"/>
    </row>
    <row r="122" customFormat="false" ht="15" hidden="false" customHeight="true" outlineLevel="0" collapsed="false">
      <c r="A122" s="19" t="str">
        <f aca="false">IF(C122="","",ROW()-1)</f>
        <v/>
      </c>
      <c r="B122" s="22"/>
      <c r="C122" s="22"/>
      <c r="D122" s="22"/>
      <c r="E122" s="22"/>
      <c r="F122" s="22"/>
      <c r="G122" s="20"/>
      <c r="H122" s="9"/>
      <c r="I122" s="9"/>
      <c r="J122" s="16"/>
      <c r="K122" s="22"/>
      <c r="L122" s="22"/>
      <c r="M122" s="22"/>
      <c r="N122" s="22"/>
      <c r="O122" s="22"/>
    </row>
    <row r="123" customFormat="false" ht="15" hidden="false" customHeight="true" outlineLevel="0" collapsed="false">
      <c r="A123" s="19" t="str">
        <f aca="false">IF(C123="","",ROW()-1)</f>
        <v/>
      </c>
      <c r="B123" s="22"/>
      <c r="C123" s="22"/>
      <c r="D123" s="22"/>
      <c r="E123" s="22"/>
      <c r="F123" s="22"/>
      <c r="G123" s="20"/>
      <c r="H123" s="9"/>
      <c r="I123" s="9"/>
      <c r="J123" s="16"/>
      <c r="K123" s="22"/>
      <c r="L123" s="22"/>
      <c r="M123" s="22"/>
      <c r="N123" s="22"/>
      <c r="O123" s="22"/>
    </row>
    <row r="124" customFormat="false" ht="15" hidden="false" customHeight="true" outlineLevel="0" collapsed="false">
      <c r="A124" s="19" t="str">
        <f aca="false">IF(C124="","",ROW()-1)</f>
        <v/>
      </c>
      <c r="B124" s="22"/>
      <c r="C124" s="22"/>
      <c r="D124" s="22"/>
      <c r="E124" s="22"/>
      <c r="F124" s="22"/>
      <c r="G124" s="20"/>
      <c r="H124" s="9"/>
      <c r="I124" s="9"/>
      <c r="J124" s="16"/>
      <c r="K124" s="22"/>
      <c r="L124" s="22"/>
      <c r="M124" s="22"/>
      <c r="N124" s="22"/>
      <c r="O124" s="22"/>
    </row>
    <row r="125" customFormat="false" ht="15" hidden="false" customHeight="true" outlineLevel="0" collapsed="false">
      <c r="A125" s="19" t="str">
        <f aca="false">IF(C125="","",ROW()-1)</f>
        <v/>
      </c>
      <c r="B125" s="22"/>
      <c r="C125" s="22"/>
      <c r="D125" s="22"/>
      <c r="E125" s="22"/>
      <c r="F125" s="22"/>
      <c r="G125" s="20"/>
      <c r="H125" s="9"/>
      <c r="I125" s="9"/>
      <c r="J125" s="16"/>
      <c r="K125" s="22"/>
      <c r="L125" s="22"/>
      <c r="M125" s="22"/>
      <c r="N125" s="22"/>
      <c r="O125" s="22"/>
    </row>
    <row r="126" customFormat="false" ht="15" hidden="false" customHeight="true" outlineLevel="0" collapsed="false">
      <c r="A126" s="19" t="str">
        <f aca="false">IF(C126="","",ROW()-1)</f>
        <v/>
      </c>
      <c r="B126" s="22"/>
      <c r="C126" s="22"/>
      <c r="D126" s="22"/>
      <c r="E126" s="22"/>
      <c r="F126" s="22"/>
      <c r="G126" s="20"/>
      <c r="H126" s="9"/>
      <c r="I126" s="9"/>
      <c r="J126" s="16"/>
      <c r="K126" s="22"/>
      <c r="L126" s="22"/>
      <c r="M126" s="22"/>
      <c r="N126" s="22"/>
      <c r="O126" s="22"/>
    </row>
    <row r="127" customFormat="false" ht="15" hidden="false" customHeight="true" outlineLevel="0" collapsed="false">
      <c r="A127" s="19" t="str">
        <f aca="false">IF(C127="","",ROW()-1)</f>
        <v/>
      </c>
      <c r="B127" s="22"/>
      <c r="C127" s="22"/>
      <c r="D127" s="22"/>
      <c r="E127" s="22"/>
      <c r="F127" s="22"/>
      <c r="G127" s="20"/>
      <c r="H127" s="9"/>
      <c r="I127" s="9"/>
      <c r="J127" s="16"/>
      <c r="K127" s="22"/>
      <c r="L127" s="22"/>
      <c r="M127" s="22"/>
      <c r="N127" s="22"/>
      <c r="O127" s="22"/>
    </row>
    <row r="128" customFormat="false" ht="15" hidden="false" customHeight="true" outlineLevel="0" collapsed="false">
      <c r="A128" s="19" t="str">
        <f aca="false">IF(C128="","",ROW()-1)</f>
        <v/>
      </c>
      <c r="B128" s="22"/>
      <c r="C128" s="22"/>
      <c r="D128" s="22"/>
      <c r="E128" s="22"/>
      <c r="F128" s="22"/>
      <c r="G128" s="20"/>
      <c r="H128" s="9"/>
      <c r="I128" s="9"/>
      <c r="J128" s="16"/>
      <c r="K128" s="22"/>
      <c r="L128" s="22"/>
      <c r="M128" s="22"/>
      <c r="N128" s="22"/>
      <c r="O128" s="22"/>
    </row>
    <row r="129" customFormat="false" ht="15" hidden="false" customHeight="true" outlineLevel="0" collapsed="false">
      <c r="A129" s="19" t="str">
        <f aca="false">IF(C129="","",ROW()-1)</f>
        <v/>
      </c>
      <c r="B129" s="22"/>
      <c r="C129" s="22"/>
      <c r="D129" s="22"/>
      <c r="E129" s="22"/>
      <c r="F129" s="22"/>
      <c r="G129" s="20"/>
      <c r="H129" s="9"/>
      <c r="I129" s="9"/>
      <c r="J129" s="16"/>
      <c r="K129" s="22"/>
      <c r="L129" s="22"/>
      <c r="M129" s="22"/>
      <c r="N129" s="22"/>
      <c r="O129" s="22"/>
    </row>
    <row r="130" customFormat="false" ht="15" hidden="false" customHeight="true" outlineLevel="0" collapsed="false">
      <c r="A130" s="19" t="str">
        <f aca="false">IF(C130="","",ROW()-1)</f>
        <v/>
      </c>
      <c r="B130" s="22"/>
      <c r="C130" s="22"/>
      <c r="D130" s="22"/>
      <c r="E130" s="22"/>
      <c r="F130" s="22"/>
      <c r="G130" s="20"/>
      <c r="H130" s="9"/>
      <c r="I130" s="9"/>
      <c r="J130" s="16"/>
      <c r="K130" s="22"/>
      <c r="L130" s="22"/>
      <c r="M130" s="22"/>
      <c r="N130" s="22"/>
      <c r="O130" s="22"/>
    </row>
    <row r="131" customFormat="false" ht="15" hidden="false" customHeight="true" outlineLevel="0" collapsed="false">
      <c r="A131" s="19" t="str">
        <f aca="false">IF(C131="","",ROW()-1)</f>
        <v/>
      </c>
      <c r="B131" s="22"/>
      <c r="C131" s="22"/>
      <c r="D131" s="22"/>
      <c r="E131" s="22"/>
      <c r="F131" s="22"/>
      <c r="G131" s="20"/>
      <c r="H131" s="9"/>
      <c r="I131" s="9"/>
      <c r="J131" s="16"/>
      <c r="K131" s="22"/>
      <c r="L131" s="22"/>
      <c r="M131" s="22"/>
      <c r="N131" s="22"/>
      <c r="O131" s="22"/>
    </row>
    <row r="132" customFormat="false" ht="15" hidden="false" customHeight="true" outlineLevel="0" collapsed="false">
      <c r="A132" s="19" t="str">
        <f aca="false">IF(C132="","",ROW()-1)</f>
        <v/>
      </c>
      <c r="B132" s="22"/>
      <c r="C132" s="22"/>
      <c r="D132" s="22"/>
      <c r="E132" s="22"/>
      <c r="F132" s="22"/>
      <c r="G132" s="20"/>
      <c r="H132" s="9"/>
      <c r="I132" s="9"/>
      <c r="J132" s="16"/>
      <c r="K132" s="22"/>
      <c r="L132" s="22"/>
      <c r="M132" s="22"/>
      <c r="N132" s="22"/>
      <c r="O132" s="22"/>
    </row>
    <row r="133" customFormat="false" ht="15" hidden="false" customHeight="true" outlineLevel="0" collapsed="false">
      <c r="A133" s="19" t="str">
        <f aca="false">IF(C133="","",ROW()-1)</f>
        <v/>
      </c>
      <c r="B133" s="22"/>
      <c r="C133" s="22"/>
      <c r="D133" s="22"/>
      <c r="E133" s="22"/>
      <c r="F133" s="22"/>
      <c r="G133" s="20"/>
      <c r="H133" s="9"/>
      <c r="I133" s="9"/>
      <c r="J133" s="16"/>
      <c r="K133" s="22"/>
      <c r="L133" s="22"/>
      <c r="M133" s="22"/>
      <c r="N133" s="22"/>
      <c r="O133" s="22"/>
    </row>
    <row r="134" customFormat="false" ht="15" hidden="false" customHeight="true" outlineLevel="0" collapsed="false">
      <c r="A134" s="19" t="str">
        <f aca="false">IF(C134="","",ROW()-1)</f>
        <v/>
      </c>
      <c r="B134" s="22"/>
      <c r="C134" s="22"/>
      <c r="D134" s="22"/>
      <c r="E134" s="22"/>
      <c r="F134" s="22"/>
      <c r="G134" s="20"/>
      <c r="H134" s="9"/>
      <c r="I134" s="9"/>
      <c r="J134" s="16"/>
      <c r="K134" s="22"/>
      <c r="L134" s="22"/>
      <c r="M134" s="22"/>
      <c r="N134" s="22"/>
      <c r="O134" s="22"/>
    </row>
    <row r="135" customFormat="false" ht="15" hidden="false" customHeight="true" outlineLevel="0" collapsed="false">
      <c r="A135" s="19" t="str">
        <f aca="false">IF(C135="","",ROW()-1)</f>
        <v/>
      </c>
      <c r="B135" s="22"/>
      <c r="C135" s="22"/>
      <c r="D135" s="22"/>
      <c r="E135" s="22"/>
      <c r="F135" s="22"/>
      <c r="G135" s="20"/>
      <c r="H135" s="9"/>
      <c r="I135" s="9"/>
      <c r="J135" s="16"/>
      <c r="K135" s="22"/>
      <c r="L135" s="22"/>
      <c r="M135" s="22"/>
      <c r="N135" s="22"/>
      <c r="O135" s="22"/>
    </row>
    <row r="136" customFormat="false" ht="15" hidden="false" customHeight="true" outlineLevel="0" collapsed="false">
      <c r="A136" s="19" t="str">
        <f aca="false">IF(C136="","",ROW()-1)</f>
        <v/>
      </c>
      <c r="B136" s="22"/>
      <c r="C136" s="22"/>
      <c r="D136" s="22"/>
      <c r="E136" s="22"/>
      <c r="F136" s="22"/>
      <c r="G136" s="20"/>
      <c r="H136" s="9"/>
      <c r="I136" s="9"/>
      <c r="J136" s="16"/>
      <c r="K136" s="22"/>
      <c r="L136" s="22"/>
      <c r="M136" s="22"/>
      <c r="N136" s="22"/>
      <c r="O136" s="22"/>
    </row>
    <row r="137" customFormat="false" ht="15" hidden="false" customHeight="true" outlineLevel="0" collapsed="false">
      <c r="A137" s="19" t="str">
        <f aca="false">IF(C137="","",ROW()-1)</f>
        <v/>
      </c>
      <c r="B137" s="22"/>
      <c r="C137" s="22"/>
      <c r="D137" s="22"/>
      <c r="E137" s="22"/>
      <c r="F137" s="22"/>
      <c r="G137" s="20"/>
      <c r="H137" s="9"/>
      <c r="I137" s="9"/>
      <c r="J137" s="16"/>
      <c r="K137" s="22"/>
      <c r="L137" s="22"/>
      <c r="M137" s="22"/>
      <c r="N137" s="22"/>
      <c r="O137" s="22"/>
    </row>
    <row r="138" customFormat="false" ht="15" hidden="false" customHeight="true" outlineLevel="0" collapsed="false">
      <c r="A138" s="19" t="str">
        <f aca="false">IF(C138="","",ROW()-1)</f>
        <v/>
      </c>
      <c r="B138" s="22"/>
      <c r="C138" s="22"/>
      <c r="D138" s="22"/>
      <c r="E138" s="22"/>
      <c r="F138" s="22"/>
      <c r="G138" s="20"/>
      <c r="H138" s="9"/>
      <c r="I138" s="9"/>
      <c r="J138" s="16"/>
      <c r="K138" s="22"/>
      <c r="L138" s="22"/>
      <c r="M138" s="22"/>
      <c r="N138" s="22"/>
      <c r="O138" s="22"/>
    </row>
    <row r="139" customFormat="false" ht="15" hidden="false" customHeight="true" outlineLevel="0" collapsed="false">
      <c r="A139" s="19" t="str">
        <f aca="false">IF(C139="","",ROW()-1)</f>
        <v/>
      </c>
      <c r="B139" s="22"/>
      <c r="C139" s="22"/>
      <c r="D139" s="22"/>
      <c r="E139" s="22"/>
      <c r="F139" s="22"/>
      <c r="G139" s="20"/>
      <c r="H139" s="9"/>
      <c r="I139" s="9"/>
      <c r="J139" s="16"/>
      <c r="K139" s="22"/>
      <c r="L139" s="22"/>
      <c r="M139" s="22"/>
      <c r="N139" s="22"/>
      <c r="O139" s="22"/>
    </row>
    <row r="140" customFormat="false" ht="15" hidden="false" customHeight="true" outlineLevel="0" collapsed="false">
      <c r="A140" s="19" t="str">
        <f aca="false">IF(C140="","",ROW()-1)</f>
        <v/>
      </c>
      <c r="B140" s="22"/>
      <c r="C140" s="22"/>
      <c r="D140" s="22"/>
      <c r="E140" s="22"/>
      <c r="F140" s="22"/>
      <c r="G140" s="20"/>
      <c r="H140" s="9"/>
      <c r="I140" s="9"/>
      <c r="J140" s="16"/>
      <c r="K140" s="22"/>
      <c r="L140" s="22"/>
      <c r="M140" s="22"/>
      <c r="N140" s="22"/>
      <c r="O140" s="22"/>
    </row>
    <row r="141" customFormat="false" ht="15" hidden="false" customHeight="true" outlineLevel="0" collapsed="false">
      <c r="A141" s="19" t="str">
        <f aca="false">IF(C141="","",ROW()-1)</f>
        <v/>
      </c>
      <c r="B141" s="22"/>
      <c r="C141" s="22"/>
      <c r="D141" s="22"/>
      <c r="E141" s="22"/>
      <c r="F141" s="22"/>
      <c r="G141" s="20"/>
      <c r="H141" s="9"/>
      <c r="I141" s="9"/>
      <c r="J141" s="16"/>
      <c r="K141" s="22"/>
      <c r="L141" s="22"/>
      <c r="M141" s="22"/>
      <c r="N141" s="22"/>
      <c r="O141" s="22"/>
    </row>
    <row r="142" customFormat="false" ht="15" hidden="false" customHeight="true" outlineLevel="0" collapsed="false">
      <c r="A142" s="19" t="str">
        <f aca="false">IF(C142="","",ROW()-1)</f>
        <v/>
      </c>
      <c r="B142" s="22"/>
      <c r="C142" s="22"/>
      <c r="D142" s="22"/>
      <c r="E142" s="22"/>
      <c r="F142" s="22"/>
      <c r="G142" s="20"/>
      <c r="H142" s="9"/>
      <c r="I142" s="9"/>
      <c r="J142" s="16"/>
      <c r="K142" s="22"/>
      <c r="L142" s="22"/>
      <c r="M142" s="22"/>
      <c r="N142" s="22"/>
      <c r="O142" s="22"/>
    </row>
    <row r="143" customFormat="false" ht="15" hidden="false" customHeight="true" outlineLevel="0" collapsed="false">
      <c r="A143" s="19" t="str">
        <f aca="false">IF(C143="","",ROW()-1)</f>
        <v/>
      </c>
      <c r="B143" s="22"/>
      <c r="C143" s="22"/>
      <c r="D143" s="22"/>
      <c r="E143" s="22"/>
      <c r="F143" s="22"/>
      <c r="G143" s="20"/>
      <c r="H143" s="9"/>
      <c r="I143" s="9"/>
      <c r="J143" s="16"/>
      <c r="K143" s="22"/>
      <c r="L143" s="22"/>
      <c r="M143" s="22"/>
      <c r="N143" s="22"/>
      <c r="O143" s="22"/>
    </row>
    <row r="144" customFormat="false" ht="15" hidden="false" customHeight="true" outlineLevel="0" collapsed="false">
      <c r="A144" s="19" t="str">
        <f aca="false">IF(C144="","",ROW()-1)</f>
        <v/>
      </c>
      <c r="B144" s="22"/>
      <c r="C144" s="22"/>
      <c r="D144" s="22"/>
      <c r="E144" s="22"/>
      <c r="F144" s="22"/>
      <c r="G144" s="20"/>
      <c r="H144" s="9"/>
      <c r="I144" s="9"/>
      <c r="J144" s="16"/>
      <c r="K144" s="22"/>
      <c r="L144" s="22"/>
      <c r="M144" s="22"/>
      <c r="N144" s="22"/>
      <c r="O144" s="22"/>
    </row>
    <row r="145" customFormat="false" ht="15" hidden="false" customHeight="true" outlineLevel="0" collapsed="false">
      <c r="A145" s="19" t="str">
        <f aca="false">IF(C145="","",ROW()-1)</f>
        <v/>
      </c>
      <c r="B145" s="22"/>
      <c r="C145" s="22"/>
      <c r="D145" s="22"/>
      <c r="E145" s="22"/>
      <c r="F145" s="22"/>
      <c r="G145" s="20"/>
      <c r="H145" s="9"/>
      <c r="I145" s="9"/>
      <c r="J145" s="16"/>
      <c r="K145" s="22"/>
      <c r="L145" s="22"/>
      <c r="M145" s="22"/>
      <c r="N145" s="22"/>
      <c r="O145" s="22"/>
    </row>
    <row r="146" customFormat="false" ht="15" hidden="false" customHeight="true" outlineLevel="0" collapsed="false">
      <c r="A146" s="19" t="str">
        <f aca="false">IF(C146="","",ROW()-1)</f>
        <v/>
      </c>
      <c r="B146" s="22"/>
      <c r="C146" s="22"/>
      <c r="D146" s="22"/>
      <c r="E146" s="22"/>
      <c r="F146" s="22"/>
      <c r="G146" s="20"/>
      <c r="H146" s="9"/>
      <c r="I146" s="9"/>
      <c r="J146" s="16"/>
      <c r="K146" s="22"/>
      <c r="L146" s="22"/>
      <c r="M146" s="22"/>
      <c r="N146" s="22"/>
      <c r="O146" s="22"/>
    </row>
    <row r="147" customFormat="false" ht="15" hidden="false" customHeight="true" outlineLevel="0" collapsed="false">
      <c r="A147" s="19" t="str">
        <f aca="false">IF(C147="","",ROW()-1)</f>
        <v/>
      </c>
      <c r="B147" s="22"/>
      <c r="C147" s="22"/>
      <c r="D147" s="22"/>
      <c r="E147" s="22"/>
      <c r="F147" s="22"/>
      <c r="G147" s="20"/>
      <c r="H147" s="9"/>
      <c r="I147" s="9"/>
      <c r="J147" s="16"/>
      <c r="K147" s="22"/>
      <c r="L147" s="22"/>
      <c r="M147" s="22"/>
      <c r="N147" s="22"/>
      <c r="O147" s="22"/>
    </row>
    <row r="148" customFormat="false" ht="15" hidden="false" customHeight="true" outlineLevel="0" collapsed="false">
      <c r="A148" s="19" t="str">
        <f aca="false">IF(C148="","",ROW()-1)</f>
        <v/>
      </c>
      <c r="B148" s="22"/>
      <c r="C148" s="22"/>
      <c r="D148" s="22"/>
      <c r="E148" s="22"/>
      <c r="F148" s="22"/>
      <c r="G148" s="20"/>
      <c r="H148" s="9"/>
      <c r="I148" s="9"/>
      <c r="J148" s="16"/>
      <c r="K148" s="22"/>
      <c r="L148" s="22"/>
      <c r="M148" s="22"/>
      <c r="N148" s="22"/>
      <c r="O148" s="22"/>
    </row>
    <row r="149" customFormat="false" ht="15" hidden="false" customHeight="true" outlineLevel="0" collapsed="false">
      <c r="A149" s="19" t="str">
        <f aca="false">IF(C149="","",ROW()-1)</f>
        <v/>
      </c>
      <c r="B149" s="22"/>
      <c r="C149" s="22"/>
      <c r="D149" s="22"/>
      <c r="E149" s="22"/>
      <c r="F149" s="22"/>
      <c r="G149" s="20"/>
      <c r="H149" s="9"/>
      <c r="I149" s="9"/>
      <c r="J149" s="16"/>
      <c r="K149" s="22"/>
      <c r="L149" s="22"/>
      <c r="M149" s="22"/>
      <c r="N149" s="22"/>
      <c r="O149" s="22"/>
    </row>
    <row r="150" customFormat="false" ht="15" hidden="false" customHeight="true" outlineLevel="0" collapsed="false">
      <c r="A150" s="19" t="str">
        <f aca="false">IF(C150="","",ROW()-1)</f>
        <v/>
      </c>
      <c r="B150" s="22"/>
      <c r="C150" s="22"/>
      <c r="D150" s="22"/>
      <c r="E150" s="22"/>
      <c r="F150" s="22"/>
      <c r="G150" s="20"/>
      <c r="H150" s="9"/>
      <c r="I150" s="9"/>
      <c r="J150" s="16"/>
      <c r="K150" s="22"/>
      <c r="L150" s="22"/>
      <c r="M150" s="22"/>
      <c r="N150" s="22"/>
      <c r="O150" s="22"/>
    </row>
    <row r="151" customFormat="false" ht="15" hidden="false" customHeight="true" outlineLevel="0" collapsed="false">
      <c r="A151" s="19" t="str">
        <f aca="false">IF(C151="","",ROW()-1)</f>
        <v/>
      </c>
      <c r="B151" s="22"/>
      <c r="C151" s="22"/>
      <c r="D151" s="22"/>
      <c r="E151" s="22"/>
      <c r="F151" s="22"/>
      <c r="G151" s="20"/>
      <c r="H151" s="9"/>
      <c r="I151" s="9"/>
      <c r="J151" s="16"/>
      <c r="K151" s="22"/>
      <c r="L151" s="22"/>
      <c r="M151" s="22"/>
      <c r="N151" s="22"/>
      <c r="O151" s="22"/>
    </row>
    <row r="152" customFormat="false" ht="15" hidden="false" customHeight="true" outlineLevel="0" collapsed="false">
      <c r="A152" s="19" t="str">
        <f aca="false">IF(C152="","",ROW()-1)</f>
        <v/>
      </c>
      <c r="B152" s="22"/>
      <c r="C152" s="22"/>
      <c r="D152" s="22"/>
      <c r="E152" s="22"/>
      <c r="F152" s="22"/>
      <c r="G152" s="20"/>
      <c r="H152" s="9"/>
      <c r="I152" s="9"/>
      <c r="J152" s="16"/>
      <c r="K152" s="22"/>
      <c r="L152" s="22"/>
      <c r="M152" s="22"/>
      <c r="N152" s="22"/>
      <c r="O152" s="22"/>
    </row>
    <row r="153" customFormat="false" ht="15" hidden="false" customHeight="true" outlineLevel="0" collapsed="false">
      <c r="A153" s="19" t="str">
        <f aca="false">IF(C153="","",ROW()-1)</f>
        <v/>
      </c>
      <c r="B153" s="22"/>
      <c r="C153" s="22"/>
      <c r="D153" s="22"/>
      <c r="E153" s="22"/>
      <c r="F153" s="22"/>
      <c r="G153" s="20"/>
      <c r="H153" s="9"/>
      <c r="I153" s="9"/>
      <c r="J153" s="16"/>
      <c r="K153" s="22"/>
      <c r="L153" s="22"/>
      <c r="M153" s="22"/>
      <c r="N153" s="22"/>
      <c r="O153" s="22"/>
    </row>
    <row r="154" customFormat="false" ht="15" hidden="false" customHeight="true" outlineLevel="0" collapsed="false">
      <c r="A154" s="19" t="str">
        <f aca="false">IF(C154="","",ROW()-1)</f>
        <v/>
      </c>
      <c r="B154" s="22"/>
      <c r="C154" s="22"/>
      <c r="D154" s="22"/>
      <c r="E154" s="22"/>
      <c r="F154" s="22"/>
      <c r="G154" s="20"/>
      <c r="H154" s="9"/>
      <c r="I154" s="9"/>
      <c r="J154" s="16"/>
      <c r="K154" s="22"/>
      <c r="L154" s="22"/>
      <c r="M154" s="22"/>
      <c r="N154" s="22"/>
      <c r="O154" s="22"/>
    </row>
    <row r="155" customFormat="false" ht="15" hidden="false" customHeight="true" outlineLevel="0" collapsed="false">
      <c r="A155" s="19" t="str">
        <f aca="false">IF(C155="","",ROW()-1)</f>
        <v/>
      </c>
      <c r="B155" s="22"/>
      <c r="C155" s="22"/>
      <c r="D155" s="22"/>
      <c r="E155" s="22"/>
      <c r="F155" s="22"/>
      <c r="G155" s="20"/>
      <c r="H155" s="9"/>
      <c r="I155" s="9"/>
      <c r="J155" s="16"/>
      <c r="K155" s="22"/>
      <c r="L155" s="22"/>
      <c r="M155" s="22"/>
      <c r="N155" s="22"/>
      <c r="O155" s="22"/>
    </row>
    <row r="156" customFormat="false" ht="15" hidden="false" customHeight="true" outlineLevel="0" collapsed="false">
      <c r="A156" s="19" t="str">
        <f aca="false">IF(C156="","",ROW()-1)</f>
        <v/>
      </c>
      <c r="B156" s="22"/>
      <c r="C156" s="22"/>
      <c r="D156" s="22"/>
      <c r="E156" s="22"/>
      <c r="F156" s="22"/>
      <c r="G156" s="20"/>
      <c r="H156" s="9"/>
      <c r="I156" s="9"/>
      <c r="J156" s="16"/>
      <c r="K156" s="22"/>
      <c r="L156" s="22"/>
      <c r="M156" s="22"/>
      <c r="N156" s="22"/>
      <c r="O156" s="22"/>
    </row>
    <row r="157" customFormat="false" ht="15" hidden="false" customHeight="true" outlineLevel="0" collapsed="false">
      <c r="A157" s="19" t="str">
        <f aca="false">IF(C157="","",ROW()-1)</f>
        <v/>
      </c>
      <c r="B157" s="22"/>
      <c r="C157" s="22"/>
      <c r="D157" s="22"/>
      <c r="E157" s="22"/>
      <c r="F157" s="22"/>
      <c r="G157" s="20"/>
      <c r="H157" s="9"/>
      <c r="I157" s="9"/>
      <c r="J157" s="16"/>
      <c r="K157" s="22"/>
      <c r="L157" s="22"/>
      <c r="M157" s="22"/>
      <c r="N157" s="22"/>
      <c r="O157" s="22"/>
    </row>
    <row r="158" customFormat="false" ht="15" hidden="false" customHeight="true" outlineLevel="0" collapsed="false">
      <c r="A158" s="19" t="str">
        <f aca="false">IF(C158="","",ROW()-1)</f>
        <v/>
      </c>
      <c r="B158" s="22"/>
      <c r="C158" s="22"/>
      <c r="D158" s="22"/>
      <c r="E158" s="22"/>
      <c r="F158" s="22"/>
      <c r="G158" s="20"/>
      <c r="H158" s="9"/>
      <c r="I158" s="9"/>
      <c r="J158" s="16"/>
      <c r="K158" s="22"/>
      <c r="L158" s="22"/>
      <c r="M158" s="22"/>
      <c r="N158" s="22"/>
      <c r="O158" s="22"/>
    </row>
    <row r="159" customFormat="false" ht="15" hidden="false" customHeight="true" outlineLevel="0" collapsed="false">
      <c r="A159" s="19" t="str">
        <f aca="false">IF(C159="","",ROW()-1)</f>
        <v/>
      </c>
      <c r="B159" s="22"/>
      <c r="C159" s="22"/>
      <c r="D159" s="22"/>
      <c r="E159" s="22"/>
      <c r="F159" s="22"/>
      <c r="G159" s="20"/>
      <c r="H159" s="9"/>
      <c r="I159" s="9"/>
      <c r="J159" s="16"/>
      <c r="K159" s="22"/>
      <c r="L159" s="22"/>
      <c r="M159" s="22"/>
      <c r="N159" s="22"/>
      <c r="O159" s="22"/>
    </row>
    <row r="160" customFormat="false" ht="15" hidden="false" customHeight="true" outlineLevel="0" collapsed="false">
      <c r="A160" s="19" t="str">
        <f aca="false">IF(C160="","",ROW()-1)</f>
        <v/>
      </c>
      <c r="B160" s="22"/>
      <c r="C160" s="22"/>
      <c r="D160" s="22"/>
      <c r="E160" s="22"/>
      <c r="F160" s="22"/>
      <c r="G160" s="20"/>
      <c r="H160" s="9"/>
      <c r="I160" s="9"/>
      <c r="J160" s="16"/>
      <c r="K160" s="22"/>
      <c r="L160" s="22"/>
      <c r="M160" s="22"/>
      <c r="N160" s="22"/>
      <c r="O160" s="22"/>
    </row>
    <row r="161" customFormat="false" ht="15" hidden="false" customHeight="true" outlineLevel="0" collapsed="false">
      <c r="A161" s="19" t="str">
        <f aca="false">IF(C161="","",ROW()-1)</f>
        <v/>
      </c>
      <c r="B161" s="22"/>
      <c r="C161" s="22"/>
      <c r="D161" s="22"/>
      <c r="E161" s="22"/>
      <c r="F161" s="22"/>
      <c r="G161" s="20"/>
      <c r="H161" s="9"/>
      <c r="I161" s="9"/>
      <c r="J161" s="16"/>
      <c r="K161" s="22"/>
      <c r="L161" s="22"/>
      <c r="M161" s="22"/>
      <c r="N161" s="22"/>
      <c r="O161" s="22"/>
    </row>
    <row r="162" customFormat="false" ht="15" hidden="false" customHeight="true" outlineLevel="0" collapsed="false">
      <c r="A162" s="19" t="str">
        <f aca="false">IF(C162="","",ROW()-1)</f>
        <v/>
      </c>
      <c r="B162" s="22"/>
      <c r="C162" s="22"/>
      <c r="D162" s="22"/>
      <c r="E162" s="22"/>
      <c r="F162" s="22"/>
      <c r="G162" s="20"/>
      <c r="H162" s="9"/>
      <c r="I162" s="9"/>
      <c r="J162" s="16"/>
      <c r="K162" s="22"/>
      <c r="L162" s="22"/>
      <c r="M162" s="22"/>
      <c r="N162" s="22"/>
      <c r="O162" s="22"/>
    </row>
    <row r="163" customFormat="false" ht="15" hidden="false" customHeight="true" outlineLevel="0" collapsed="false">
      <c r="A163" s="19" t="str">
        <f aca="false">IF(C163="","",ROW()-1)</f>
        <v/>
      </c>
      <c r="B163" s="22"/>
      <c r="C163" s="22"/>
      <c r="D163" s="22"/>
      <c r="E163" s="22"/>
      <c r="F163" s="22"/>
      <c r="G163" s="20"/>
      <c r="H163" s="9"/>
      <c r="I163" s="9"/>
      <c r="J163" s="16"/>
      <c r="K163" s="22"/>
      <c r="L163" s="22"/>
      <c r="M163" s="22"/>
      <c r="N163" s="22"/>
      <c r="O163" s="22"/>
    </row>
    <row r="164" customFormat="false" ht="15" hidden="false" customHeight="true" outlineLevel="0" collapsed="false">
      <c r="A164" s="19" t="str">
        <f aca="false">IF(C164="","",ROW()-1)</f>
        <v/>
      </c>
      <c r="B164" s="22"/>
      <c r="C164" s="22"/>
      <c r="D164" s="22"/>
      <c r="E164" s="22"/>
      <c r="F164" s="22"/>
      <c r="G164" s="20"/>
      <c r="H164" s="9"/>
      <c r="I164" s="9"/>
      <c r="J164" s="16"/>
      <c r="K164" s="22"/>
      <c r="L164" s="22"/>
      <c r="M164" s="22"/>
      <c r="N164" s="22"/>
      <c r="O164" s="22"/>
    </row>
    <row r="165" customFormat="false" ht="15" hidden="false" customHeight="true" outlineLevel="0" collapsed="false">
      <c r="A165" s="19" t="str">
        <f aca="false">IF(C165="","",ROW()-1)</f>
        <v/>
      </c>
      <c r="B165" s="22"/>
      <c r="C165" s="22"/>
      <c r="D165" s="22"/>
      <c r="E165" s="22"/>
      <c r="F165" s="22"/>
      <c r="G165" s="20"/>
      <c r="H165" s="9"/>
      <c r="I165" s="9"/>
      <c r="J165" s="16"/>
      <c r="K165" s="22"/>
      <c r="L165" s="22"/>
      <c r="M165" s="22"/>
      <c r="N165" s="22"/>
      <c r="O165" s="22"/>
    </row>
    <row r="166" customFormat="false" ht="15" hidden="false" customHeight="true" outlineLevel="0" collapsed="false">
      <c r="A166" s="19" t="str">
        <f aca="false">IF(C166="","",ROW()-1)</f>
        <v/>
      </c>
      <c r="B166" s="22"/>
      <c r="C166" s="22"/>
      <c r="D166" s="22"/>
      <c r="E166" s="22"/>
      <c r="F166" s="22"/>
      <c r="G166" s="20"/>
      <c r="H166" s="9"/>
      <c r="I166" s="9"/>
      <c r="J166" s="16"/>
      <c r="K166" s="22"/>
      <c r="L166" s="22"/>
      <c r="M166" s="22"/>
      <c r="N166" s="22"/>
      <c r="O166" s="22"/>
    </row>
    <row r="167" customFormat="false" ht="15" hidden="false" customHeight="true" outlineLevel="0" collapsed="false">
      <c r="A167" s="19" t="str">
        <f aca="false">IF(C167="","",ROW()-1)</f>
        <v/>
      </c>
      <c r="B167" s="22"/>
      <c r="C167" s="22"/>
      <c r="D167" s="22"/>
      <c r="E167" s="22"/>
      <c r="F167" s="22"/>
      <c r="G167" s="20"/>
      <c r="H167" s="9"/>
      <c r="I167" s="9"/>
      <c r="J167" s="16"/>
      <c r="K167" s="22"/>
      <c r="L167" s="22"/>
      <c r="M167" s="22"/>
      <c r="N167" s="22"/>
      <c r="O167" s="22"/>
    </row>
    <row r="168" customFormat="false" ht="15" hidden="false" customHeight="true" outlineLevel="0" collapsed="false">
      <c r="A168" s="19" t="str">
        <f aca="false">IF(C168="","",ROW()-1)</f>
        <v/>
      </c>
      <c r="B168" s="22"/>
      <c r="C168" s="22"/>
      <c r="D168" s="22"/>
      <c r="E168" s="22"/>
      <c r="F168" s="22"/>
      <c r="G168" s="20"/>
      <c r="H168" s="9"/>
      <c r="I168" s="9"/>
      <c r="J168" s="16"/>
      <c r="K168" s="22"/>
      <c r="L168" s="22"/>
      <c r="M168" s="22"/>
      <c r="N168" s="22"/>
      <c r="O168" s="22"/>
    </row>
    <row r="169" customFormat="false" ht="15" hidden="false" customHeight="true" outlineLevel="0" collapsed="false">
      <c r="A169" s="19" t="str">
        <f aca="false">IF(C169="","",ROW()-1)</f>
        <v/>
      </c>
      <c r="B169" s="22"/>
      <c r="C169" s="22"/>
      <c r="D169" s="22"/>
      <c r="E169" s="22"/>
      <c r="F169" s="22"/>
      <c r="G169" s="20"/>
      <c r="H169" s="9"/>
      <c r="I169" s="9"/>
      <c r="J169" s="16"/>
      <c r="K169" s="22"/>
      <c r="L169" s="22"/>
      <c r="M169" s="22"/>
      <c r="N169" s="22"/>
      <c r="O169" s="22"/>
    </row>
    <row r="170" customFormat="false" ht="15" hidden="false" customHeight="true" outlineLevel="0" collapsed="false">
      <c r="A170" s="19" t="str">
        <f aca="false">IF(C170="","",ROW()-1)</f>
        <v/>
      </c>
      <c r="B170" s="22"/>
      <c r="C170" s="22"/>
      <c r="D170" s="22"/>
      <c r="E170" s="22"/>
      <c r="F170" s="22"/>
      <c r="G170" s="20"/>
      <c r="H170" s="9"/>
      <c r="I170" s="9"/>
      <c r="J170" s="16"/>
      <c r="K170" s="22"/>
      <c r="L170" s="22"/>
      <c r="M170" s="22"/>
      <c r="N170" s="22"/>
      <c r="O170" s="22"/>
    </row>
    <row r="171" customFormat="false" ht="15" hidden="false" customHeight="true" outlineLevel="0" collapsed="false">
      <c r="A171" s="19" t="str">
        <f aca="false">IF(C171="","",ROW()-1)</f>
        <v/>
      </c>
      <c r="B171" s="22"/>
      <c r="C171" s="22"/>
      <c r="D171" s="22"/>
      <c r="E171" s="22"/>
      <c r="F171" s="22"/>
      <c r="G171" s="20"/>
      <c r="H171" s="9"/>
      <c r="I171" s="9"/>
      <c r="J171" s="16"/>
      <c r="K171" s="22"/>
      <c r="L171" s="22"/>
      <c r="M171" s="22"/>
      <c r="N171" s="22"/>
      <c r="O171" s="22"/>
    </row>
    <row r="172" customFormat="false" ht="15" hidden="false" customHeight="true" outlineLevel="0" collapsed="false">
      <c r="A172" s="19" t="str">
        <f aca="false">IF(C172="","",ROW()-1)</f>
        <v/>
      </c>
      <c r="B172" s="22"/>
      <c r="C172" s="22"/>
      <c r="D172" s="22"/>
      <c r="E172" s="22"/>
      <c r="F172" s="22"/>
      <c r="G172" s="20"/>
      <c r="H172" s="9"/>
      <c r="I172" s="9"/>
      <c r="J172" s="16"/>
      <c r="K172" s="22"/>
      <c r="L172" s="22"/>
      <c r="M172" s="22"/>
      <c r="N172" s="22"/>
      <c r="O172" s="22"/>
    </row>
    <row r="173" customFormat="false" ht="15" hidden="false" customHeight="true" outlineLevel="0" collapsed="false">
      <c r="A173" s="19" t="str">
        <f aca="false">IF(C173="","",ROW()-1)</f>
        <v/>
      </c>
      <c r="B173" s="22"/>
      <c r="C173" s="22"/>
      <c r="D173" s="22"/>
      <c r="E173" s="22"/>
      <c r="F173" s="22"/>
      <c r="G173" s="20"/>
      <c r="H173" s="9"/>
      <c r="I173" s="9"/>
      <c r="J173" s="16"/>
      <c r="K173" s="22"/>
      <c r="L173" s="22"/>
      <c r="M173" s="22"/>
      <c r="N173" s="22"/>
      <c r="O173" s="22"/>
    </row>
    <row r="174" customFormat="false" ht="15" hidden="false" customHeight="true" outlineLevel="0" collapsed="false">
      <c r="A174" s="19" t="str">
        <f aca="false">IF(C174="","",ROW()-1)</f>
        <v/>
      </c>
      <c r="B174" s="22"/>
      <c r="C174" s="22"/>
      <c r="D174" s="22"/>
      <c r="E174" s="22"/>
      <c r="F174" s="22"/>
      <c r="G174" s="20"/>
      <c r="H174" s="9"/>
      <c r="I174" s="9"/>
      <c r="J174" s="16"/>
      <c r="K174" s="22"/>
      <c r="L174" s="22"/>
      <c r="M174" s="22"/>
      <c r="N174" s="22"/>
      <c r="O174" s="22"/>
    </row>
    <row r="175" customFormat="false" ht="15" hidden="false" customHeight="true" outlineLevel="0" collapsed="false">
      <c r="A175" s="19" t="str">
        <f aca="false">IF(C175="","",ROW()-1)</f>
        <v/>
      </c>
      <c r="B175" s="22"/>
      <c r="C175" s="22"/>
      <c r="D175" s="22"/>
      <c r="E175" s="22"/>
      <c r="F175" s="22"/>
      <c r="G175" s="20"/>
      <c r="H175" s="9"/>
      <c r="I175" s="9"/>
      <c r="J175" s="16"/>
      <c r="K175" s="22"/>
      <c r="L175" s="22"/>
      <c r="M175" s="22"/>
      <c r="N175" s="22"/>
      <c r="O175" s="22"/>
    </row>
    <row r="176" customFormat="false" ht="15" hidden="false" customHeight="true" outlineLevel="0" collapsed="false">
      <c r="A176" s="19" t="str">
        <f aca="false">IF(C176="","",ROW()-1)</f>
        <v/>
      </c>
      <c r="B176" s="22"/>
      <c r="C176" s="22"/>
      <c r="D176" s="22"/>
      <c r="E176" s="22"/>
      <c r="F176" s="22"/>
      <c r="G176" s="20"/>
      <c r="H176" s="9"/>
      <c r="I176" s="9"/>
      <c r="J176" s="16"/>
      <c r="K176" s="22"/>
      <c r="L176" s="22"/>
      <c r="M176" s="22"/>
      <c r="N176" s="22"/>
      <c r="O176" s="22"/>
    </row>
    <row r="177" customFormat="false" ht="15" hidden="false" customHeight="true" outlineLevel="0" collapsed="false">
      <c r="A177" s="19" t="str">
        <f aca="false">IF(C177="","",ROW()-1)</f>
        <v/>
      </c>
      <c r="B177" s="22"/>
      <c r="C177" s="22"/>
      <c r="D177" s="22"/>
      <c r="E177" s="22"/>
      <c r="F177" s="22"/>
      <c r="G177" s="20"/>
      <c r="H177" s="9"/>
      <c r="I177" s="9"/>
      <c r="J177" s="16"/>
      <c r="K177" s="22"/>
      <c r="L177" s="22"/>
      <c r="M177" s="22"/>
      <c r="N177" s="22"/>
      <c r="O177" s="22"/>
    </row>
    <row r="178" customFormat="false" ht="15" hidden="false" customHeight="true" outlineLevel="0" collapsed="false">
      <c r="A178" s="19" t="str">
        <f aca="false">IF(C178="","",ROW()-1)</f>
        <v/>
      </c>
      <c r="B178" s="22"/>
      <c r="C178" s="22"/>
      <c r="D178" s="22"/>
      <c r="E178" s="22"/>
      <c r="F178" s="22"/>
      <c r="G178" s="20"/>
      <c r="H178" s="9"/>
      <c r="I178" s="9"/>
      <c r="J178" s="16"/>
      <c r="K178" s="22"/>
      <c r="L178" s="22"/>
      <c r="M178" s="22"/>
      <c r="N178" s="22"/>
      <c r="O178" s="22"/>
    </row>
    <row r="179" customFormat="false" ht="15" hidden="false" customHeight="true" outlineLevel="0" collapsed="false">
      <c r="A179" s="19" t="str">
        <f aca="false">IF(C179="","",ROW()-1)</f>
        <v/>
      </c>
      <c r="B179" s="22"/>
      <c r="C179" s="22"/>
      <c r="D179" s="22"/>
      <c r="E179" s="22"/>
      <c r="F179" s="22"/>
      <c r="G179" s="20"/>
      <c r="H179" s="9"/>
      <c r="I179" s="9"/>
      <c r="J179" s="16"/>
      <c r="K179" s="22"/>
      <c r="L179" s="22"/>
      <c r="M179" s="22"/>
      <c r="N179" s="22"/>
      <c r="O179" s="22"/>
    </row>
    <row r="180" customFormat="false" ht="15" hidden="false" customHeight="true" outlineLevel="0" collapsed="false">
      <c r="A180" s="19" t="str">
        <f aca="false">IF(C180="","",ROW()-1)</f>
        <v/>
      </c>
      <c r="B180" s="22"/>
      <c r="C180" s="22"/>
      <c r="D180" s="22"/>
      <c r="E180" s="22"/>
      <c r="F180" s="22"/>
      <c r="G180" s="20"/>
      <c r="H180" s="9"/>
      <c r="I180" s="9"/>
      <c r="J180" s="16"/>
      <c r="K180" s="22"/>
      <c r="L180" s="22"/>
      <c r="M180" s="22"/>
      <c r="N180" s="22"/>
      <c r="O180" s="22"/>
    </row>
    <row r="181" customFormat="false" ht="15" hidden="false" customHeight="true" outlineLevel="0" collapsed="false">
      <c r="A181" s="19" t="str">
        <f aca="false">IF(C181="","",ROW()-1)</f>
        <v/>
      </c>
      <c r="B181" s="22"/>
      <c r="C181" s="22"/>
      <c r="D181" s="22"/>
      <c r="E181" s="22"/>
      <c r="F181" s="22"/>
      <c r="G181" s="20"/>
      <c r="H181" s="9"/>
      <c r="I181" s="9"/>
      <c r="J181" s="16"/>
      <c r="K181" s="22"/>
      <c r="L181" s="22"/>
      <c r="M181" s="22"/>
      <c r="N181" s="22"/>
      <c r="O181" s="22"/>
    </row>
    <row r="182" customFormat="false" ht="15" hidden="false" customHeight="true" outlineLevel="0" collapsed="false">
      <c r="A182" s="19" t="str">
        <f aca="false">IF(C182="","",ROW()-1)</f>
        <v/>
      </c>
      <c r="B182" s="22"/>
      <c r="C182" s="22"/>
      <c r="D182" s="22"/>
      <c r="E182" s="22"/>
      <c r="F182" s="22"/>
      <c r="G182" s="20"/>
      <c r="H182" s="9"/>
      <c r="I182" s="9"/>
      <c r="J182" s="16"/>
      <c r="K182" s="22"/>
      <c r="L182" s="22"/>
      <c r="M182" s="22"/>
      <c r="N182" s="22"/>
      <c r="O182" s="22"/>
    </row>
    <row r="183" customFormat="false" ht="15" hidden="false" customHeight="true" outlineLevel="0" collapsed="false">
      <c r="A183" s="19" t="str">
        <f aca="false">IF(C183="","",ROW()-1)</f>
        <v/>
      </c>
      <c r="B183" s="22"/>
      <c r="C183" s="22"/>
      <c r="D183" s="22"/>
      <c r="E183" s="22"/>
      <c r="F183" s="22"/>
      <c r="G183" s="20"/>
      <c r="H183" s="9"/>
      <c r="I183" s="9"/>
      <c r="J183" s="16"/>
      <c r="K183" s="22"/>
      <c r="L183" s="22"/>
      <c r="M183" s="22"/>
      <c r="N183" s="22"/>
      <c r="O183" s="22"/>
    </row>
    <row r="184" customFormat="false" ht="15" hidden="false" customHeight="true" outlineLevel="0" collapsed="false">
      <c r="A184" s="19" t="str">
        <f aca="false">IF(C184="","",ROW()-1)</f>
        <v/>
      </c>
      <c r="B184" s="22"/>
      <c r="C184" s="22"/>
      <c r="D184" s="22"/>
      <c r="E184" s="22"/>
      <c r="F184" s="22"/>
      <c r="G184" s="20"/>
      <c r="H184" s="9"/>
      <c r="I184" s="9"/>
      <c r="J184" s="16"/>
      <c r="K184" s="22"/>
      <c r="L184" s="22"/>
      <c r="M184" s="22"/>
      <c r="N184" s="22"/>
      <c r="O184" s="22"/>
    </row>
    <row r="185" customFormat="false" ht="15" hidden="false" customHeight="true" outlineLevel="0" collapsed="false">
      <c r="A185" s="19" t="str">
        <f aca="false">IF(C185="","",ROW()-1)</f>
        <v/>
      </c>
      <c r="B185" s="22"/>
      <c r="C185" s="22"/>
      <c r="D185" s="22"/>
      <c r="E185" s="22"/>
      <c r="F185" s="22"/>
      <c r="G185" s="20"/>
      <c r="H185" s="9"/>
      <c r="I185" s="9"/>
      <c r="J185" s="16"/>
      <c r="K185" s="22"/>
      <c r="L185" s="22"/>
      <c r="M185" s="22"/>
      <c r="N185" s="22"/>
      <c r="O185" s="22"/>
    </row>
    <row r="186" customFormat="false" ht="15" hidden="false" customHeight="true" outlineLevel="0" collapsed="false">
      <c r="A186" s="19" t="str">
        <f aca="false">IF(C186="","",ROW()-1)</f>
        <v/>
      </c>
      <c r="B186" s="22"/>
      <c r="C186" s="22"/>
      <c r="D186" s="22"/>
      <c r="E186" s="22"/>
      <c r="F186" s="22"/>
      <c r="G186" s="20"/>
      <c r="H186" s="9"/>
      <c r="I186" s="9"/>
      <c r="J186" s="16"/>
      <c r="K186" s="22"/>
      <c r="L186" s="22"/>
      <c r="M186" s="22"/>
      <c r="N186" s="22"/>
      <c r="O186" s="22"/>
    </row>
    <row r="187" customFormat="false" ht="15" hidden="false" customHeight="true" outlineLevel="0" collapsed="false">
      <c r="A187" s="19" t="str">
        <f aca="false">IF(C187="","",ROW()-1)</f>
        <v/>
      </c>
      <c r="B187" s="22"/>
      <c r="C187" s="22"/>
      <c r="D187" s="22"/>
      <c r="E187" s="22"/>
      <c r="F187" s="22"/>
      <c r="G187" s="20"/>
      <c r="H187" s="9"/>
      <c r="I187" s="9"/>
      <c r="J187" s="16"/>
      <c r="K187" s="22"/>
      <c r="L187" s="22"/>
      <c r="M187" s="22"/>
      <c r="N187" s="22"/>
      <c r="O187" s="22"/>
    </row>
    <row r="188" customFormat="false" ht="15" hidden="false" customHeight="true" outlineLevel="0" collapsed="false">
      <c r="A188" s="19" t="str">
        <f aca="false">IF(C188="","",ROW()-1)</f>
        <v/>
      </c>
      <c r="B188" s="22"/>
      <c r="C188" s="22"/>
      <c r="D188" s="22"/>
      <c r="E188" s="22"/>
      <c r="F188" s="22"/>
      <c r="G188" s="20"/>
      <c r="H188" s="9"/>
      <c r="I188" s="9"/>
      <c r="J188" s="16"/>
      <c r="K188" s="22"/>
      <c r="L188" s="22"/>
      <c r="M188" s="22"/>
      <c r="N188" s="22"/>
      <c r="O188" s="22"/>
    </row>
    <row r="189" customFormat="false" ht="15" hidden="false" customHeight="true" outlineLevel="0" collapsed="false">
      <c r="A189" s="19" t="str">
        <f aca="false">IF(C189="","",ROW()-1)</f>
        <v/>
      </c>
      <c r="B189" s="22"/>
      <c r="C189" s="22"/>
      <c r="D189" s="22"/>
      <c r="E189" s="22"/>
      <c r="F189" s="22"/>
      <c r="G189" s="20"/>
      <c r="H189" s="9"/>
      <c r="I189" s="9"/>
      <c r="J189" s="16"/>
      <c r="K189" s="22"/>
      <c r="L189" s="22"/>
      <c r="M189" s="22"/>
      <c r="N189" s="22"/>
      <c r="O189" s="22"/>
    </row>
    <row r="190" customFormat="false" ht="15" hidden="false" customHeight="true" outlineLevel="0" collapsed="false">
      <c r="A190" s="19" t="str">
        <f aca="false">IF(C190="","",ROW()-1)</f>
        <v/>
      </c>
      <c r="B190" s="22"/>
      <c r="C190" s="22"/>
      <c r="D190" s="22"/>
      <c r="E190" s="22"/>
      <c r="F190" s="22"/>
      <c r="G190" s="20"/>
      <c r="H190" s="9"/>
      <c r="I190" s="9"/>
      <c r="J190" s="16"/>
      <c r="K190" s="22"/>
      <c r="L190" s="22"/>
      <c r="M190" s="22"/>
      <c r="N190" s="22"/>
      <c r="O190" s="22"/>
    </row>
    <row r="191" customFormat="false" ht="15" hidden="false" customHeight="true" outlineLevel="0" collapsed="false">
      <c r="A191" s="19" t="str">
        <f aca="false">IF(C191="","",ROW()-1)</f>
        <v/>
      </c>
      <c r="B191" s="22"/>
      <c r="C191" s="22"/>
      <c r="D191" s="22"/>
      <c r="E191" s="22"/>
      <c r="F191" s="22"/>
      <c r="G191" s="20"/>
      <c r="H191" s="9"/>
      <c r="I191" s="9"/>
      <c r="J191" s="16"/>
      <c r="K191" s="22"/>
      <c r="L191" s="22"/>
      <c r="M191" s="22"/>
      <c r="N191" s="22"/>
      <c r="O191" s="22"/>
    </row>
    <row r="192" customFormat="false" ht="15" hidden="false" customHeight="true" outlineLevel="0" collapsed="false">
      <c r="A192" s="19" t="str">
        <f aca="false">IF(C192="","",ROW()-1)</f>
        <v/>
      </c>
      <c r="B192" s="22"/>
      <c r="C192" s="22"/>
      <c r="D192" s="22"/>
      <c r="E192" s="22"/>
      <c r="F192" s="22"/>
      <c r="G192" s="20"/>
      <c r="H192" s="9"/>
      <c r="I192" s="9"/>
      <c r="J192" s="16"/>
      <c r="K192" s="22"/>
      <c r="L192" s="22"/>
      <c r="M192" s="22"/>
      <c r="N192" s="22"/>
      <c r="O192" s="22"/>
    </row>
    <row r="193" customFormat="false" ht="15" hidden="false" customHeight="true" outlineLevel="0" collapsed="false">
      <c r="A193" s="19" t="str">
        <f aca="false">IF(C193="","",ROW()-1)</f>
        <v/>
      </c>
      <c r="B193" s="22"/>
      <c r="C193" s="22"/>
      <c r="D193" s="22"/>
      <c r="E193" s="22"/>
      <c r="F193" s="22"/>
      <c r="G193" s="20"/>
      <c r="H193" s="9"/>
      <c r="I193" s="9"/>
      <c r="J193" s="16"/>
      <c r="K193" s="22"/>
      <c r="L193" s="22"/>
      <c r="M193" s="22"/>
      <c r="N193" s="22"/>
      <c r="O193" s="22"/>
    </row>
    <row r="194" customFormat="false" ht="15" hidden="false" customHeight="true" outlineLevel="0" collapsed="false">
      <c r="A194" s="19" t="str">
        <f aca="false">IF(C194="","",ROW()-1)</f>
        <v/>
      </c>
      <c r="B194" s="22"/>
      <c r="C194" s="22"/>
      <c r="D194" s="22"/>
      <c r="E194" s="22"/>
      <c r="F194" s="22"/>
      <c r="G194" s="20"/>
      <c r="H194" s="9"/>
      <c r="I194" s="9"/>
      <c r="J194" s="16"/>
      <c r="K194" s="22"/>
      <c r="L194" s="22"/>
      <c r="M194" s="22"/>
      <c r="N194" s="22"/>
      <c r="O194" s="22"/>
    </row>
    <row r="195" customFormat="false" ht="15" hidden="false" customHeight="true" outlineLevel="0" collapsed="false">
      <c r="A195" s="19" t="str">
        <f aca="false">IF(C195="","",ROW()-1)</f>
        <v/>
      </c>
      <c r="B195" s="22"/>
      <c r="C195" s="22"/>
      <c r="D195" s="22"/>
      <c r="E195" s="22"/>
      <c r="F195" s="22"/>
      <c r="G195" s="20"/>
      <c r="H195" s="9"/>
      <c r="I195" s="9"/>
      <c r="J195" s="16"/>
      <c r="K195" s="22"/>
      <c r="L195" s="22"/>
      <c r="M195" s="22"/>
      <c r="N195" s="22"/>
      <c r="O195" s="22"/>
    </row>
    <row r="196" customFormat="false" ht="15" hidden="false" customHeight="true" outlineLevel="0" collapsed="false">
      <c r="A196" s="19" t="str">
        <f aca="false">IF(C196="","",ROW()-1)</f>
        <v/>
      </c>
      <c r="B196" s="22"/>
      <c r="C196" s="22"/>
      <c r="D196" s="22"/>
      <c r="E196" s="22"/>
      <c r="F196" s="22"/>
      <c r="G196" s="20"/>
      <c r="H196" s="9"/>
      <c r="I196" s="9"/>
      <c r="J196" s="16"/>
      <c r="K196" s="22"/>
      <c r="L196" s="22"/>
      <c r="M196" s="22"/>
      <c r="N196" s="22"/>
      <c r="O196" s="22"/>
    </row>
    <row r="197" customFormat="false" ht="15" hidden="false" customHeight="true" outlineLevel="0" collapsed="false">
      <c r="A197" s="19" t="str">
        <f aca="false">IF(C197="","",ROW()-1)</f>
        <v/>
      </c>
      <c r="B197" s="22"/>
      <c r="C197" s="22"/>
      <c r="D197" s="22"/>
      <c r="E197" s="22"/>
      <c r="F197" s="22"/>
      <c r="G197" s="20"/>
      <c r="H197" s="9"/>
      <c r="I197" s="9"/>
      <c r="J197" s="16"/>
      <c r="K197" s="22"/>
      <c r="L197" s="22"/>
      <c r="M197" s="22"/>
      <c r="N197" s="22"/>
      <c r="O197" s="22"/>
    </row>
    <row r="198" customFormat="false" ht="15" hidden="false" customHeight="true" outlineLevel="0" collapsed="false">
      <c r="A198" s="19" t="str">
        <f aca="false">IF(C198="","",ROW()-1)</f>
        <v/>
      </c>
      <c r="B198" s="22"/>
      <c r="C198" s="22"/>
      <c r="D198" s="22"/>
      <c r="E198" s="22"/>
      <c r="F198" s="22"/>
      <c r="G198" s="20"/>
      <c r="H198" s="9"/>
      <c r="I198" s="9"/>
      <c r="J198" s="16"/>
      <c r="K198" s="22"/>
      <c r="L198" s="22"/>
      <c r="M198" s="22"/>
      <c r="N198" s="22"/>
      <c r="O198" s="22"/>
    </row>
    <row r="199" customFormat="false" ht="15" hidden="false" customHeight="true" outlineLevel="0" collapsed="false">
      <c r="A199" s="19" t="str">
        <f aca="false">IF(C199="","",ROW()-1)</f>
        <v/>
      </c>
      <c r="B199" s="22"/>
      <c r="C199" s="22"/>
      <c r="D199" s="22"/>
      <c r="E199" s="22"/>
      <c r="F199" s="22"/>
      <c r="G199" s="20"/>
      <c r="H199" s="9"/>
      <c r="I199" s="9"/>
      <c r="J199" s="16"/>
      <c r="K199" s="22"/>
      <c r="L199" s="22"/>
      <c r="M199" s="22"/>
      <c r="N199" s="22"/>
      <c r="O199" s="22"/>
    </row>
    <row r="200" customFormat="false" ht="15" hidden="false" customHeight="true" outlineLevel="0" collapsed="false">
      <c r="A200" s="19" t="str">
        <f aca="false">IF(C200="","",ROW()-1)</f>
        <v/>
      </c>
      <c r="B200" s="22"/>
      <c r="C200" s="22"/>
      <c r="D200" s="22"/>
      <c r="E200" s="22"/>
      <c r="F200" s="22"/>
      <c r="G200" s="20"/>
      <c r="H200" s="9"/>
      <c r="I200" s="9"/>
      <c r="J200" s="16"/>
      <c r="K200" s="22"/>
      <c r="L200" s="22"/>
      <c r="M200" s="22"/>
      <c r="N200" s="22"/>
      <c r="O200" s="22"/>
    </row>
    <row r="201" customFormat="false" ht="15" hidden="false" customHeight="true" outlineLevel="0" collapsed="false">
      <c r="A201" s="19" t="str">
        <f aca="false">IF(C201="","",ROW()-1)</f>
        <v/>
      </c>
      <c r="B201" s="22"/>
      <c r="C201" s="22"/>
      <c r="D201" s="22"/>
      <c r="E201" s="22"/>
      <c r="F201" s="22"/>
      <c r="G201" s="20"/>
      <c r="H201" s="9"/>
      <c r="I201" s="9"/>
      <c r="J201" s="16"/>
      <c r="K201" s="22"/>
      <c r="L201" s="22"/>
      <c r="M201" s="22"/>
      <c r="N201" s="22"/>
      <c r="O201" s="22"/>
    </row>
  </sheetData>
  <autoFilter ref="A1:O201"/>
  <dataValidations count="2">
    <dataValidation allowBlank="true" errorStyle="stop" operator="between" showDropDown="false" showErrorMessage="false" showInputMessage="false" sqref="G2:G201" type="list">
      <formula1>"はい,たぶん,いいえ"</formula1>
      <formula2>0</formula2>
    </dataValidation>
    <dataValidation allowBlank="true" errorStyle="stop" operator="between" showDropDown="false" showErrorMessage="false" showInputMessage="false" sqref="M2:M20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26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7"/>
    <col collapsed="false" customWidth="true" hidden="false" outlineLevel="0" max="13" min="12" style="1" width="10"/>
    <col collapsed="false" customWidth="true" hidden="false" outlineLevel="0" max="14" min="14" style="1" width="30"/>
    <col collapsed="false" customWidth="true" hidden="false" outlineLevel="0" max="15" min="15" style="1" width="22"/>
    <col collapsed="false" customWidth="true" hidden="false" outlineLevel="0" max="16" min="16" style="1" width="12"/>
    <col collapsed="false" customWidth="true" hidden="false" outlineLevel="0" max="17" min="17" style="1" width="10"/>
    <col collapsed="false" customWidth="true" hidden="false" outlineLevel="0" max="18" min="18" style="1" width="30"/>
  </cols>
  <sheetData>
    <row r="1" customFormat="false" ht="36" hidden="false" customHeight="true" outlineLevel="0" collapsed="false">
      <c r="A1" s="17" t="s">
        <v>61</v>
      </c>
      <c r="B1" s="18" t="s">
        <v>111</v>
      </c>
      <c r="C1" s="18" t="s">
        <v>113</v>
      </c>
      <c r="D1" s="18" t="s">
        <v>328</v>
      </c>
      <c r="E1" s="17" t="s">
        <v>329</v>
      </c>
      <c r="F1" s="18" t="s">
        <v>330</v>
      </c>
      <c r="G1" s="18" t="s">
        <v>331</v>
      </c>
      <c r="H1" s="17" t="s">
        <v>332</v>
      </c>
      <c r="I1" s="17" t="s">
        <v>333</v>
      </c>
      <c r="J1" s="18" t="s">
        <v>334</v>
      </c>
      <c r="K1" s="18" t="s">
        <v>335</v>
      </c>
      <c r="L1" s="18" t="s">
        <v>336</v>
      </c>
      <c r="M1" s="18" t="s">
        <v>337</v>
      </c>
      <c r="N1" s="18" t="s">
        <v>338</v>
      </c>
      <c r="O1" s="18" t="s">
        <v>339</v>
      </c>
      <c r="P1" s="18" t="s">
        <v>340</v>
      </c>
      <c r="Q1" s="18" t="s">
        <v>341</v>
      </c>
      <c r="R1" s="18" t="s">
        <v>69</v>
      </c>
    </row>
    <row r="2" customFormat="false" ht="15" hidden="false" customHeight="true" outlineLevel="0" collapsed="false">
      <c r="A2" s="22" t="n">
        <v>1</v>
      </c>
      <c r="B2" s="22" t="s">
        <v>123</v>
      </c>
      <c r="C2" s="22" t="s">
        <v>125</v>
      </c>
      <c r="D2" s="20" t="s">
        <v>342</v>
      </c>
      <c r="E2" s="22" t="s">
        <v>343</v>
      </c>
      <c r="F2" s="22" t="s">
        <v>344</v>
      </c>
      <c r="G2" s="9" t="n">
        <v>1880</v>
      </c>
      <c r="H2" s="9" t="n">
        <v>1</v>
      </c>
      <c r="I2" s="20" t="s">
        <v>345</v>
      </c>
      <c r="J2" s="9" t="n">
        <v>1437</v>
      </c>
      <c r="K2" s="11" t="n">
        <v>4.6</v>
      </c>
      <c r="L2" s="9" t="n">
        <v>618</v>
      </c>
      <c r="M2" s="22" t="n">
        <v>20</v>
      </c>
      <c r="N2" s="22"/>
      <c r="O2" s="20" t="s">
        <v>70</v>
      </c>
      <c r="P2" s="25" t="str">
        <f aca="false">IF(O2="","",IFERROR(INDEX(ライバル調査!$K:$K,MATCH(O2,ライバル調査!$B:$B,0)),"未調査"))</f>
        <v>△ 要検討</v>
      </c>
      <c r="Q2" s="22"/>
      <c r="R2" s="20" t="s">
        <v>346</v>
      </c>
    </row>
    <row r="3" customFormat="false" ht="15" hidden="false" customHeight="true" outlineLevel="0" collapsed="false">
      <c r="A3" s="24" t="n">
        <v>2</v>
      </c>
      <c r="B3" s="22" t="s">
        <v>132</v>
      </c>
      <c r="C3" s="22" t="s">
        <v>134</v>
      </c>
      <c r="D3" s="20" t="s">
        <v>347</v>
      </c>
      <c r="E3" s="22" t="s">
        <v>348</v>
      </c>
      <c r="F3" s="22" t="s">
        <v>349</v>
      </c>
      <c r="G3" s="9" t="n">
        <v>1180</v>
      </c>
      <c r="H3" s="9" t="n">
        <v>2</v>
      </c>
      <c r="I3" s="26" t="s">
        <v>350</v>
      </c>
      <c r="J3" s="9" t="n">
        <v>2258</v>
      </c>
      <c r="K3" s="11" t="n">
        <v>4.6</v>
      </c>
      <c r="L3" s="9" t="n">
        <v>433</v>
      </c>
      <c r="M3" s="22" t="n">
        <v>38</v>
      </c>
      <c r="N3" s="22"/>
      <c r="O3" s="20" t="s">
        <v>70</v>
      </c>
      <c r="P3" s="19" t="str">
        <f aca="false">IF(O3="","",IFERROR(INDEX(ライバル調査!$K:$K,MATCH(O3,ライバル調査!$B:$B,0)),"未調査"))</f>
        <v>△ 要検討</v>
      </c>
      <c r="Q3" s="22"/>
      <c r="R3" s="20" t="s">
        <v>351</v>
      </c>
    </row>
    <row r="4" customFormat="false" ht="15" hidden="false" customHeight="true" outlineLevel="0" collapsed="false">
      <c r="A4" s="24" t="n">
        <v>3</v>
      </c>
      <c r="B4" s="20" t="s">
        <v>137</v>
      </c>
      <c r="C4" s="22" t="s">
        <v>139</v>
      </c>
      <c r="D4" s="22" t="s">
        <v>352</v>
      </c>
      <c r="E4" s="22" t="s">
        <v>353</v>
      </c>
      <c r="F4" s="22" t="s">
        <v>354</v>
      </c>
      <c r="G4" s="9" t="n">
        <v>1699</v>
      </c>
      <c r="H4" s="9" t="n">
        <v>12</v>
      </c>
      <c r="I4" s="20" t="s">
        <v>355</v>
      </c>
      <c r="J4" s="9" t="n">
        <v>2229</v>
      </c>
      <c r="K4" s="11" t="n">
        <v>4.3</v>
      </c>
      <c r="L4" s="9" t="n">
        <v>404</v>
      </c>
      <c r="M4" s="22" t="n">
        <v>4</v>
      </c>
      <c r="N4" s="22"/>
      <c r="O4" s="20" t="s">
        <v>70</v>
      </c>
      <c r="P4" s="19" t="str">
        <f aca="false">IF(O4="","",IFERROR(INDEX(ライバル調査!$K:$K,MATCH(O4,ライバル調査!$B:$B,0)),"未調査"))</f>
        <v>△ 要検討</v>
      </c>
      <c r="Q4" s="22"/>
      <c r="R4" s="20" t="s">
        <v>356</v>
      </c>
    </row>
    <row r="5" customFormat="false" ht="15" hidden="false" customHeight="true" outlineLevel="0" collapsed="false">
      <c r="A5" s="24" t="n">
        <v>4</v>
      </c>
      <c r="B5" s="20" t="s">
        <v>149</v>
      </c>
      <c r="C5" s="22" t="s">
        <v>151</v>
      </c>
      <c r="D5" s="20" t="s">
        <v>357</v>
      </c>
      <c r="E5" s="22" t="s">
        <v>358</v>
      </c>
      <c r="F5" s="22" t="s">
        <v>359</v>
      </c>
      <c r="G5" s="9" t="n">
        <v>1599</v>
      </c>
      <c r="H5" s="9" t="n">
        <v>3</v>
      </c>
      <c r="I5" s="20" t="s">
        <v>360</v>
      </c>
      <c r="J5" s="9" t="n">
        <v>589</v>
      </c>
      <c r="K5" s="11" t="n">
        <v>4.2</v>
      </c>
      <c r="L5" s="9" t="n">
        <v>304</v>
      </c>
      <c r="M5" s="22" t="n">
        <v>8</v>
      </c>
      <c r="N5" s="27" t="s">
        <v>361</v>
      </c>
      <c r="O5" s="20" t="s">
        <v>70</v>
      </c>
      <c r="P5" s="19" t="str">
        <f aca="false">IF(O5="","",IFERROR(INDEX(ライバル調査!$K:$K,MATCH(O5,ライバル調査!$B:$B,0)),"未調査"))</f>
        <v>△ 要検討</v>
      </c>
      <c r="Q5" s="22"/>
      <c r="R5" s="20" t="s">
        <v>362</v>
      </c>
    </row>
    <row r="6" customFormat="false" ht="15" hidden="false" customHeight="true" outlineLevel="0" collapsed="false">
      <c r="A6" s="24" t="n">
        <v>5</v>
      </c>
      <c r="B6" s="22" t="s">
        <v>155</v>
      </c>
      <c r="C6" s="22" t="s">
        <v>157</v>
      </c>
      <c r="D6" s="20" t="s">
        <v>363</v>
      </c>
      <c r="E6" s="22" t="s">
        <v>364</v>
      </c>
      <c r="F6" s="22" t="s">
        <v>365</v>
      </c>
      <c r="G6" s="9" t="n">
        <v>1580</v>
      </c>
      <c r="H6" s="9" t="n">
        <v>2</v>
      </c>
      <c r="I6" s="20" t="s">
        <v>360</v>
      </c>
      <c r="J6" s="9" t="n">
        <v>192</v>
      </c>
      <c r="K6" s="11" t="n">
        <v>4.4</v>
      </c>
      <c r="L6" s="9" t="n">
        <v>242</v>
      </c>
      <c r="M6" s="22" t="n">
        <v>5</v>
      </c>
      <c r="N6" s="27" t="s">
        <v>366</v>
      </c>
      <c r="O6" s="20" t="s">
        <v>70</v>
      </c>
      <c r="P6" s="19" t="str">
        <f aca="false">IF(O6="","",IFERROR(INDEX(ライバル調査!$K:$K,MATCH(O6,ライバル調査!$B:$B,0)),"未調査"))</f>
        <v>△ 要検討</v>
      </c>
      <c r="Q6" s="22"/>
      <c r="R6" s="20" t="s">
        <v>367</v>
      </c>
    </row>
    <row r="7" customFormat="false" ht="15" hidden="false" customHeight="true" outlineLevel="0" collapsed="false">
      <c r="A7" s="24" t="n">
        <v>6</v>
      </c>
      <c r="B7" s="22" t="s">
        <v>143</v>
      </c>
      <c r="C7" s="22" t="s">
        <v>145</v>
      </c>
      <c r="D7" s="20" t="s">
        <v>368</v>
      </c>
      <c r="E7" s="22" t="s">
        <v>369</v>
      </c>
      <c r="F7" s="22" t="s">
        <v>370</v>
      </c>
      <c r="G7" s="9" t="n">
        <v>999</v>
      </c>
      <c r="H7" s="9" t="n">
        <v>11</v>
      </c>
      <c r="I7" s="20" t="s">
        <v>345</v>
      </c>
      <c r="J7" s="9" t="n">
        <v>972</v>
      </c>
      <c r="K7" s="11" t="n">
        <v>4.5</v>
      </c>
      <c r="L7" s="9" t="n">
        <v>198</v>
      </c>
      <c r="M7" s="22" t="n">
        <v>17</v>
      </c>
      <c r="N7" s="22"/>
      <c r="O7" s="20" t="s">
        <v>70</v>
      </c>
      <c r="P7" s="19" t="str">
        <f aca="false">IF(O7="","",IFERROR(INDEX(ライバル調査!$K:$K,MATCH(O7,ライバル調査!$B:$B,0)),"未調査"))</f>
        <v>△ 要検討</v>
      </c>
      <c r="Q7" s="22"/>
      <c r="R7" s="20" t="s">
        <v>371</v>
      </c>
    </row>
    <row r="8" customFormat="false" ht="15" hidden="false" customHeight="true" outlineLevel="0" collapsed="false">
      <c r="A8" s="24" t="n">
        <v>7</v>
      </c>
      <c r="B8" s="22" t="s">
        <v>161</v>
      </c>
      <c r="C8" s="22" t="s">
        <v>163</v>
      </c>
      <c r="D8" s="20" t="s">
        <v>372</v>
      </c>
      <c r="E8" s="22" t="s">
        <v>373</v>
      </c>
      <c r="F8" s="22" t="s">
        <v>374</v>
      </c>
      <c r="G8" s="9" t="n">
        <v>1280</v>
      </c>
      <c r="H8" s="9" t="n">
        <v>15</v>
      </c>
      <c r="I8" s="20" t="s">
        <v>345</v>
      </c>
      <c r="J8" s="9" t="n">
        <v>368</v>
      </c>
      <c r="K8" s="11" t="n">
        <v>4.4</v>
      </c>
      <c r="L8" s="9" t="n">
        <v>197</v>
      </c>
      <c r="M8" s="22" t="n">
        <v>13</v>
      </c>
      <c r="N8" s="22"/>
      <c r="O8" s="20" t="s">
        <v>70</v>
      </c>
      <c r="P8" s="19" t="str">
        <f aca="false">IF(O8="","",IFERROR(INDEX(ライバル調査!$K:$K,MATCH(O8,ライバル調査!$B:$B,0)),"未調査"))</f>
        <v>△ 要検討</v>
      </c>
      <c r="Q8" s="22"/>
      <c r="R8" s="20" t="s">
        <v>375</v>
      </c>
    </row>
    <row r="9" customFormat="false" ht="15" hidden="false" customHeight="true" outlineLevel="0" collapsed="false">
      <c r="A9" s="24" t="n">
        <v>8</v>
      </c>
      <c r="B9" s="22" t="s">
        <v>167</v>
      </c>
      <c r="C9" s="22" t="s">
        <v>169</v>
      </c>
      <c r="D9" s="20" t="s">
        <v>376</v>
      </c>
      <c r="E9" s="22" t="s">
        <v>377</v>
      </c>
      <c r="F9" s="22" t="s">
        <v>378</v>
      </c>
      <c r="G9" s="9" t="n">
        <v>1180</v>
      </c>
      <c r="H9" s="9" t="n">
        <v>16</v>
      </c>
      <c r="I9" s="20" t="s">
        <v>345</v>
      </c>
      <c r="J9" s="9" t="n">
        <v>214</v>
      </c>
      <c r="K9" s="11" t="n">
        <v>4.5</v>
      </c>
      <c r="L9" s="9" t="n">
        <v>162</v>
      </c>
      <c r="M9" s="22" t="n">
        <v>6</v>
      </c>
      <c r="N9" s="22"/>
      <c r="O9" s="20" t="s">
        <v>70</v>
      </c>
      <c r="P9" s="19" t="str">
        <f aca="false">IF(O9="","",IFERROR(INDEX(ライバル調査!$K:$K,MATCH(O9,ライバル調査!$B:$B,0)),"未調査"))</f>
        <v>△ 要検討</v>
      </c>
      <c r="Q9" s="22"/>
      <c r="R9" s="20" t="s">
        <v>379</v>
      </c>
    </row>
    <row r="10" customFormat="false" ht="15" hidden="false" customHeight="true" outlineLevel="0" collapsed="false">
      <c r="A10" s="24" t="n">
        <v>9</v>
      </c>
      <c r="B10" s="22" t="s">
        <v>171</v>
      </c>
      <c r="C10" s="22" t="s">
        <v>173</v>
      </c>
      <c r="D10" s="20" t="s">
        <v>380</v>
      </c>
      <c r="E10" s="22" t="s">
        <v>381</v>
      </c>
      <c r="F10" s="22" t="s">
        <v>382</v>
      </c>
      <c r="G10" s="9" t="n">
        <v>999</v>
      </c>
      <c r="H10" s="9" t="n">
        <v>6</v>
      </c>
      <c r="I10" s="20" t="s">
        <v>383</v>
      </c>
      <c r="J10" s="9" t="n">
        <v>102</v>
      </c>
      <c r="K10" s="11" t="n">
        <v>4.2</v>
      </c>
      <c r="L10" s="9" t="n">
        <v>153</v>
      </c>
      <c r="M10" s="22" t="n">
        <v>5</v>
      </c>
      <c r="N10" s="22"/>
      <c r="O10" s="20" t="s">
        <v>70</v>
      </c>
      <c r="P10" s="19" t="str">
        <f aca="false">IF(O10="","",IFERROR(INDEX(ライバル調査!$K:$K,MATCH(O10,ライバル調査!$B:$B,0)),"未調査"))</f>
        <v>△ 要検討</v>
      </c>
      <c r="Q10" s="22"/>
      <c r="R10" s="20" t="s">
        <v>384</v>
      </c>
    </row>
    <row r="11" customFormat="false" ht="15" hidden="false" customHeight="true" outlineLevel="0" collapsed="false">
      <c r="A11" s="24" t="n">
        <v>10</v>
      </c>
      <c r="B11" s="22" t="s">
        <v>176</v>
      </c>
      <c r="C11" s="22" t="s">
        <v>178</v>
      </c>
      <c r="D11" s="20" t="s">
        <v>385</v>
      </c>
      <c r="E11" s="22" t="s">
        <v>386</v>
      </c>
      <c r="F11" s="22" t="s">
        <v>387</v>
      </c>
      <c r="G11" s="9" t="n">
        <v>1280</v>
      </c>
      <c r="H11" s="9" t="n">
        <v>9</v>
      </c>
      <c r="I11" s="20" t="s">
        <v>383</v>
      </c>
      <c r="J11" s="9" t="n">
        <v>15</v>
      </c>
      <c r="K11" s="11" t="n">
        <v>5</v>
      </c>
      <c r="L11" s="9" t="n">
        <v>127</v>
      </c>
      <c r="M11" s="22" t="n">
        <v>9</v>
      </c>
      <c r="N11" s="22"/>
      <c r="O11" s="20" t="s">
        <v>70</v>
      </c>
      <c r="P11" s="19" t="str">
        <f aca="false">IF(O11="","",IFERROR(INDEX(ライバル調査!$K:$K,MATCH(O11,ライバル調査!$B:$B,0)),"未調査"))</f>
        <v>△ 要検討</v>
      </c>
      <c r="Q11" s="22"/>
      <c r="R11" s="20" t="s">
        <v>388</v>
      </c>
    </row>
    <row r="12" customFormat="false" ht="15" hidden="false" customHeight="true" outlineLevel="0" collapsed="false">
      <c r="A12" s="24" t="n">
        <v>11</v>
      </c>
      <c r="B12" s="22" t="s">
        <v>188</v>
      </c>
      <c r="C12" s="22" t="s">
        <v>190</v>
      </c>
      <c r="D12" s="20" t="s">
        <v>389</v>
      </c>
      <c r="E12" s="22" t="s">
        <v>390</v>
      </c>
      <c r="F12" s="22" t="s">
        <v>391</v>
      </c>
      <c r="G12" s="9" t="n">
        <v>1980</v>
      </c>
      <c r="H12" s="9" t="n">
        <v>14</v>
      </c>
      <c r="I12" s="20" t="s">
        <v>345</v>
      </c>
      <c r="J12" s="9" t="n">
        <v>476</v>
      </c>
      <c r="K12" s="11" t="n">
        <v>4.4</v>
      </c>
      <c r="L12" s="9" t="n">
        <v>112</v>
      </c>
      <c r="M12" s="22" t="n">
        <v>1</v>
      </c>
      <c r="N12" s="27" t="s">
        <v>392</v>
      </c>
      <c r="O12" s="20" t="s">
        <v>70</v>
      </c>
      <c r="P12" s="19" t="str">
        <f aca="false">IF(O12="","",IFERROR(INDEX(ライバル調査!$K:$K,MATCH(O12,ライバル調査!$B:$B,0)),"未調査"))</f>
        <v>△ 要検討</v>
      </c>
      <c r="Q12" s="22"/>
      <c r="R12" s="20" t="s">
        <v>393</v>
      </c>
    </row>
    <row r="13" customFormat="false" ht="15" hidden="false" customHeight="true" outlineLevel="0" collapsed="false">
      <c r="A13" s="24" t="n">
        <v>12</v>
      </c>
      <c r="B13" s="22" t="s">
        <v>182</v>
      </c>
      <c r="C13" s="22" t="s">
        <v>184</v>
      </c>
      <c r="D13" s="20" t="s">
        <v>394</v>
      </c>
      <c r="E13" s="22" t="s">
        <v>395</v>
      </c>
      <c r="F13" s="22" t="s">
        <v>396</v>
      </c>
      <c r="G13" s="9" t="n">
        <v>999</v>
      </c>
      <c r="H13" s="9" t="n">
        <v>17</v>
      </c>
      <c r="I13" s="20" t="s">
        <v>345</v>
      </c>
      <c r="J13" s="9" t="n">
        <v>202</v>
      </c>
      <c r="K13" s="11" t="n">
        <v>4.4</v>
      </c>
      <c r="L13" s="9" t="n">
        <v>86</v>
      </c>
      <c r="M13" s="22" t="n">
        <v>6</v>
      </c>
      <c r="N13" s="22"/>
      <c r="O13" s="20" t="s">
        <v>70</v>
      </c>
      <c r="P13" s="19" t="str">
        <f aca="false">IF(O13="","",IFERROR(INDEX(ライバル調査!$K:$K,MATCH(O13,ライバル調査!$B:$B,0)),"未調査"))</f>
        <v>△ 要検討</v>
      </c>
      <c r="Q13" s="22"/>
      <c r="R13" s="20" t="s">
        <v>397</v>
      </c>
    </row>
    <row r="14" customFormat="false" ht="15" hidden="false" customHeight="true" outlineLevel="0" collapsed="false">
      <c r="A14" s="24" t="n">
        <v>13</v>
      </c>
      <c r="B14" s="22" t="s">
        <v>143</v>
      </c>
      <c r="C14" s="22" t="s">
        <v>145</v>
      </c>
      <c r="D14" s="20" t="s">
        <v>398</v>
      </c>
      <c r="E14" s="22" t="s">
        <v>399</v>
      </c>
      <c r="F14" s="22" t="s">
        <v>400</v>
      </c>
      <c r="G14" s="9" t="n">
        <v>1680</v>
      </c>
      <c r="H14" s="9" t="n">
        <v>50</v>
      </c>
      <c r="I14" s="20" t="s">
        <v>345</v>
      </c>
      <c r="J14" s="9" t="n">
        <v>183</v>
      </c>
      <c r="K14" s="11" t="n">
        <v>4.3</v>
      </c>
      <c r="L14" s="9" t="n">
        <v>82</v>
      </c>
      <c r="M14" s="22" t="n">
        <v>5</v>
      </c>
      <c r="N14" s="22"/>
      <c r="O14" s="20" t="s">
        <v>70</v>
      </c>
      <c r="P14" s="19" t="str">
        <f aca="false">IF(O14="","",IFERROR(INDEX(ライバル調査!$K:$K,MATCH(O14,ライバル調査!$B:$B,0)),"未調査"))</f>
        <v>△ 要検討</v>
      </c>
      <c r="Q14" s="22"/>
      <c r="R14" s="20" t="s">
        <v>401</v>
      </c>
    </row>
    <row r="15" customFormat="false" ht="15" hidden="false" customHeight="true" outlineLevel="0" collapsed="false">
      <c r="A15" s="24" t="n">
        <v>14</v>
      </c>
      <c r="B15" s="22" t="s">
        <v>194</v>
      </c>
      <c r="C15" s="22" t="s">
        <v>196</v>
      </c>
      <c r="D15" s="20" t="s">
        <v>402</v>
      </c>
      <c r="E15" s="22" t="s">
        <v>403</v>
      </c>
      <c r="F15" s="22" t="s">
        <v>404</v>
      </c>
      <c r="G15" s="9" t="n">
        <v>1999</v>
      </c>
      <c r="H15" s="9" t="n">
        <v>112</v>
      </c>
      <c r="I15" s="20" t="s">
        <v>345</v>
      </c>
      <c r="J15" s="9" t="n">
        <v>5</v>
      </c>
      <c r="K15" s="11" t="n">
        <v>5</v>
      </c>
      <c r="L15" s="9" t="n">
        <v>77</v>
      </c>
      <c r="M15" s="22" t="n">
        <v>4</v>
      </c>
      <c r="N15" s="22"/>
      <c r="O15" s="20" t="s">
        <v>70</v>
      </c>
      <c r="P15" s="19" t="str">
        <f aca="false">IF(O15="","",IFERROR(INDEX(ライバル調査!$K:$K,MATCH(O15,ライバル調査!$B:$B,0)),"未調査"))</f>
        <v>△ 要検討</v>
      </c>
      <c r="Q15" s="22"/>
      <c r="R15" s="20" t="s">
        <v>405</v>
      </c>
    </row>
    <row r="16" customFormat="false" ht="15" hidden="false" customHeight="true" outlineLevel="0" collapsed="false">
      <c r="A16" s="24" t="n">
        <v>15</v>
      </c>
      <c r="B16" s="22" t="s">
        <v>205</v>
      </c>
      <c r="C16" s="22" t="s">
        <v>205</v>
      </c>
      <c r="D16" s="20" t="s">
        <v>406</v>
      </c>
      <c r="E16" s="22" t="s">
        <v>407</v>
      </c>
      <c r="F16" s="22" t="s">
        <v>408</v>
      </c>
      <c r="G16" s="9" t="n">
        <v>980</v>
      </c>
      <c r="H16" s="9" t="n">
        <v>38</v>
      </c>
      <c r="I16" s="20" t="s">
        <v>345</v>
      </c>
      <c r="J16" s="9" t="n">
        <v>155</v>
      </c>
      <c r="K16" s="11" t="n">
        <v>4.3</v>
      </c>
      <c r="L16" s="9" t="n">
        <v>65</v>
      </c>
      <c r="M16" s="22" t="n">
        <v>13</v>
      </c>
      <c r="N16" s="22"/>
      <c r="O16" s="20" t="s">
        <v>70</v>
      </c>
      <c r="P16" s="19" t="str">
        <f aca="false">IF(O16="","",IFERROR(INDEX(ライバル調査!$K:$K,MATCH(O16,ライバル調査!$B:$B,0)),"未調査"))</f>
        <v>△ 要検討</v>
      </c>
      <c r="Q16" s="22"/>
      <c r="R16" s="20" t="s">
        <v>409</v>
      </c>
    </row>
    <row r="17" customFormat="false" ht="15" hidden="false" customHeight="true" outlineLevel="0" collapsed="false">
      <c r="A17" s="24" t="n">
        <v>16</v>
      </c>
      <c r="B17" s="22" t="s">
        <v>200</v>
      </c>
      <c r="C17" s="22" t="s">
        <v>202</v>
      </c>
      <c r="D17" s="20" t="s">
        <v>410</v>
      </c>
      <c r="E17" s="22" t="s">
        <v>411</v>
      </c>
      <c r="F17" s="22" t="s">
        <v>412</v>
      </c>
      <c r="G17" s="9" t="n">
        <v>2080</v>
      </c>
      <c r="H17" s="9" t="n">
        <v>34</v>
      </c>
      <c r="I17" s="20" t="s">
        <v>383</v>
      </c>
      <c r="J17" s="9" t="n">
        <v>34</v>
      </c>
      <c r="K17" s="11" t="n">
        <v>4.1</v>
      </c>
      <c r="L17" s="9" t="n">
        <v>64</v>
      </c>
      <c r="M17" s="22" t="n">
        <v>6</v>
      </c>
      <c r="N17" s="22"/>
      <c r="O17" s="20" t="s">
        <v>70</v>
      </c>
      <c r="P17" s="19" t="str">
        <f aca="false">IF(O17="","",IFERROR(INDEX(ライバル調査!$K:$K,MATCH(O17,ライバル調査!$B:$B,0)),"未調査"))</f>
        <v>△ 要検討</v>
      </c>
      <c r="Q17" s="22"/>
      <c r="R17" s="20" t="s">
        <v>413</v>
      </c>
    </row>
    <row r="18" customFormat="false" ht="15" hidden="false" customHeight="true" outlineLevel="0" collapsed="false">
      <c r="A18" s="24" t="n">
        <v>17</v>
      </c>
      <c r="B18" s="22" t="s">
        <v>218</v>
      </c>
      <c r="C18" s="22" t="s">
        <v>125</v>
      </c>
      <c r="D18" s="20" t="s">
        <v>414</v>
      </c>
      <c r="E18" s="22" t="s">
        <v>415</v>
      </c>
      <c r="F18" s="22" t="s">
        <v>416</v>
      </c>
      <c r="G18" s="9" t="n">
        <v>1580</v>
      </c>
      <c r="H18" s="9" t="n">
        <v>8</v>
      </c>
      <c r="I18" s="20" t="s">
        <v>345</v>
      </c>
      <c r="J18" s="9" t="n">
        <v>416</v>
      </c>
      <c r="K18" s="11" t="n">
        <v>4.4</v>
      </c>
      <c r="L18" s="9" t="n">
        <v>50</v>
      </c>
      <c r="M18" s="22" t="n">
        <v>11</v>
      </c>
      <c r="N18" s="22"/>
      <c r="O18" s="20" t="s">
        <v>70</v>
      </c>
      <c r="P18" s="19" t="str">
        <f aca="false">IF(O18="","",IFERROR(INDEX(ライバル調査!$K:$K,MATCH(O18,ライバル調査!$B:$B,0)),"未調査"))</f>
        <v>△ 要検討</v>
      </c>
      <c r="Q18" s="22"/>
      <c r="R18" s="20" t="s">
        <v>417</v>
      </c>
    </row>
    <row r="19" customFormat="false" ht="15" hidden="false" customHeight="true" outlineLevel="0" collapsed="false">
      <c r="A19" s="19" t="str">
        <f aca="false">IF(D19="","",ROW()-1)</f>
        <v/>
      </c>
      <c r="B19" s="22"/>
      <c r="C19" s="22"/>
      <c r="D19" s="22"/>
      <c r="E19" s="22"/>
      <c r="F19" s="22"/>
      <c r="G19" s="9"/>
      <c r="H19" s="9"/>
      <c r="I19" s="22"/>
      <c r="J19" s="9"/>
      <c r="K19" s="11"/>
      <c r="L19" s="9"/>
      <c r="M19" s="22"/>
      <c r="N19" s="22"/>
      <c r="O19" s="22"/>
      <c r="P19" s="19" t="str">
        <f aca="false">IF(O19="","",IFERROR(INDEX(ライバル調査!$K:$K,MATCH(O19,ライバル調査!$B:$B,0)),"未調査"))</f>
        <v/>
      </c>
      <c r="Q19" s="22"/>
      <c r="R19" s="22"/>
    </row>
    <row r="20" customFormat="false" ht="15" hidden="false" customHeight="true" outlineLevel="0" collapsed="false">
      <c r="A20" s="19" t="str">
        <f aca="false">IF(D20="","",ROW()-1)</f>
        <v/>
      </c>
      <c r="B20" s="22"/>
      <c r="C20" s="22"/>
      <c r="D20" s="22"/>
      <c r="E20" s="22"/>
      <c r="F20" s="22"/>
      <c r="G20" s="9"/>
      <c r="H20" s="9"/>
      <c r="I20" s="22"/>
      <c r="J20" s="9"/>
      <c r="K20" s="11"/>
      <c r="L20" s="9"/>
      <c r="M20" s="22"/>
      <c r="N20" s="22"/>
      <c r="O20" s="22"/>
      <c r="P20" s="19" t="str">
        <f aca="false">IF(O20="","",IFERROR(INDEX(ライバル調査!$K:$K,MATCH(O20,ライバル調査!$B:$B,0)),"未調査"))</f>
        <v/>
      </c>
      <c r="Q20" s="22"/>
      <c r="R20" s="22"/>
    </row>
    <row r="21" customFormat="false" ht="15" hidden="false" customHeight="true" outlineLevel="0" collapsed="false">
      <c r="A21" s="19" t="str">
        <f aca="false">IF(D21="","",ROW()-1)</f>
        <v/>
      </c>
      <c r="B21" s="22"/>
      <c r="C21" s="22"/>
      <c r="D21" s="22"/>
      <c r="E21" s="22"/>
      <c r="F21" s="22"/>
      <c r="G21" s="9"/>
      <c r="H21" s="9"/>
      <c r="I21" s="22"/>
      <c r="J21" s="9"/>
      <c r="K21" s="11"/>
      <c r="L21" s="9"/>
      <c r="M21" s="22"/>
      <c r="N21" s="22"/>
      <c r="O21" s="22"/>
      <c r="P21" s="19" t="str">
        <f aca="false">IF(O21="","",IFERROR(INDEX(ライバル調査!$K:$K,MATCH(O21,ライバル調査!$B:$B,0)),"未調査"))</f>
        <v/>
      </c>
      <c r="Q21" s="22"/>
      <c r="R21" s="22"/>
    </row>
    <row r="22" customFormat="false" ht="15" hidden="false" customHeight="true" outlineLevel="0" collapsed="false">
      <c r="A22" s="19" t="str">
        <f aca="false">IF(D22="","",ROW()-1)</f>
        <v/>
      </c>
      <c r="B22" s="22"/>
      <c r="C22" s="22"/>
      <c r="D22" s="22"/>
      <c r="E22" s="22"/>
      <c r="F22" s="22"/>
      <c r="G22" s="9"/>
      <c r="H22" s="9"/>
      <c r="I22" s="22"/>
      <c r="J22" s="9"/>
      <c r="K22" s="11"/>
      <c r="L22" s="9"/>
      <c r="M22" s="22"/>
      <c r="N22" s="22"/>
      <c r="O22" s="22"/>
      <c r="P22" s="19" t="str">
        <f aca="false">IF(O22="","",IFERROR(INDEX(ライバル調査!$K:$K,MATCH(O22,ライバル調査!$B:$B,0)),"未調査"))</f>
        <v/>
      </c>
      <c r="Q22" s="22"/>
      <c r="R22" s="22"/>
    </row>
    <row r="23" customFormat="false" ht="15" hidden="false" customHeight="true" outlineLevel="0" collapsed="false">
      <c r="A23" s="19" t="str">
        <f aca="false">IF(D23="","",ROW()-1)</f>
        <v/>
      </c>
      <c r="B23" s="22"/>
      <c r="C23" s="22"/>
      <c r="D23" s="22"/>
      <c r="E23" s="22"/>
      <c r="F23" s="22"/>
      <c r="G23" s="9"/>
      <c r="H23" s="9"/>
      <c r="I23" s="22"/>
      <c r="J23" s="9"/>
      <c r="K23" s="11"/>
      <c r="L23" s="9"/>
      <c r="M23" s="22"/>
      <c r="N23" s="22"/>
      <c r="O23" s="22"/>
      <c r="P23" s="19" t="str">
        <f aca="false">IF(O23="","",IFERROR(INDEX(ライバル調査!$K:$K,MATCH(O23,ライバル調査!$B:$B,0)),"未調査"))</f>
        <v/>
      </c>
      <c r="Q23" s="22"/>
      <c r="R23" s="22"/>
    </row>
    <row r="24" customFormat="false" ht="15" hidden="false" customHeight="true" outlineLevel="0" collapsed="false">
      <c r="A24" s="19" t="str">
        <f aca="false">IF(D24="","",ROW()-1)</f>
        <v/>
      </c>
      <c r="B24" s="22"/>
      <c r="C24" s="22"/>
      <c r="D24" s="22"/>
      <c r="E24" s="22"/>
      <c r="F24" s="22"/>
      <c r="G24" s="9"/>
      <c r="H24" s="9"/>
      <c r="I24" s="22"/>
      <c r="J24" s="9"/>
      <c r="K24" s="11"/>
      <c r="L24" s="9"/>
      <c r="M24" s="22"/>
      <c r="N24" s="22"/>
      <c r="O24" s="22"/>
      <c r="P24" s="19" t="str">
        <f aca="false">IF(O24="","",IFERROR(INDEX(ライバル調査!$K:$K,MATCH(O24,ライバル調査!$B:$B,0)),"未調査"))</f>
        <v/>
      </c>
      <c r="Q24" s="22"/>
      <c r="R24" s="22"/>
    </row>
    <row r="25" customFormat="false" ht="15" hidden="false" customHeight="true" outlineLevel="0" collapsed="false">
      <c r="A25" s="19" t="str">
        <f aca="false">IF(D25="","",ROW()-1)</f>
        <v/>
      </c>
      <c r="B25" s="22"/>
      <c r="C25" s="22"/>
      <c r="D25" s="22"/>
      <c r="E25" s="22"/>
      <c r="F25" s="22"/>
      <c r="G25" s="9"/>
      <c r="H25" s="9"/>
      <c r="I25" s="22"/>
      <c r="J25" s="9"/>
      <c r="K25" s="11"/>
      <c r="L25" s="9"/>
      <c r="M25" s="22"/>
      <c r="N25" s="22"/>
      <c r="O25" s="22"/>
      <c r="P25" s="19" t="str">
        <f aca="false">IF(O25="","",IFERROR(INDEX(ライバル調査!$K:$K,MATCH(O25,ライバル調査!$B:$B,0)),"未調査"))</f>
        <v/>
      </c>
      <c r="Q25" s="22"/>
      <c r="R25" s="22"/>
    </row>
    <row r="26" customFormat="false" ht="15" hidden="false" customHeight="true" outlineLevel="0" collapsed="false">
      <c r="A26" s="19" t="str">
        <f aca="false">IF(D26="","",ROW()-1)</f>
        <v/>
      </c>
      <c r="B26" s="22"/>
      <c r="C26" s="22"/>
      <c r="D26" s="22"/>
      <c r="E26" s="22"/>
      <c r="F26" s="22"/>
      <c r="G26" s="9"/>
      <c r="H26" s="9"/>
      <c r="I26" s="22"/>
      <c r="J26" s="9"/>
      <c r="K26" s="11"/>
      <c r="L26" s="9"/>
      <c r="M26" s="22"/>
      <c r="N26" s="22"/>
      <c r="O26" s="22"/>
      <c r="P26" s="19" t="str">
        <f aca="false">IF(O26="","",IFERROR(INDEX(ライバル調査!$K:$K,MATCH(O26,ライバル調査!$B:$B,0)),"未調査"))</f>
        <v/>
      </c>
      <c r="Q26" s="22"/>
      <c r="R26" s="22"/>
    </row>
    <row r="27" customFormat="false" ht="15" hidden="false" customHeight="true" outlineLevel="0" collapsed="false">
      <c r="A27" s="19" t="str">
        <f aca="false">IF(D27="","",ROW()-1)</f>
        <v/>
      </c>
      <c r="B27" s="22"/>
      <c r="C27" s="22"/>
      <c r="D27" s="22"/>
      <c r="E27" s="22"/>
      <c r="F27" s="22"/>
      <c r="G27" s="9"/>
      <c r="H27" s="9"/>
      <c r="I27" s="22"/>
      <c r="J27" s="9"/>
      <c r="K27" s="11"/>
      <c r="L27" s="9"/>
      <c r="M27" s="22"/>
      <c r="N27" s="22"/>
      <c r="O27" s="22"/>
      <c r="P27" s="19" t="str">
        <f aca="false">IF(O27="","",IFERROR(INDEX(ライバル調査!$K:$K,MATCH(O27,ライバル調査!$B:$B,0)),"未調査"))</f>
        <v/>
      </c>
      <c r="Q27" s="22"/>
      <c r="R27" s="22"/>
    </row>
    <row r="28" customFormat="false" ht="15" hidden="false" customHeight="true" outlineLevel="0" collapsed="false">
      <c r="A28" s="19" t="str">
        <f aca="false">IF(D28="","",ROW()-1)</f>
        <v/>
      </c>
      <c r="B28" s="22"/>
      <c r="C28" s="22"/>
      <c r="D28" s="22"/>
      <c r="E28" s="22"/>
      <c r="F28" s="22"/>
      <c r="G28" s="9"/>
      <c r="H28" s="9"/>
      <c r="I28" s="22"/>
      <c r="J28" s="9"/>
      <c r="K28" s="11"/>
      <c r="L28" s="9"/>
      <c r="M28" s="22"/>
      <c r="N28" s="22"/>
      <c r="O28" s="22"/>
      <c r="P28" s="19" t="str">
        <f aca="false">IF(O28="","",IFERROR(INDEX(ライバル調査!$K:$K,MATCH(O28,ライバル調査!$B:$B,0)),"未調査"))</f>
        <v/>
      </c>
      <c r="Q28" s="22"/>
      <c r="R28" s="22"/>
    </row>
    <row r="29" customFormat="false" ht="15" hidden="false" customHeight="true" outlineLevel="0" collapsed="false">
      <c r="A29" s="19" t="str">
        <f aca="false">IF(D29="","",ROW()-1)</f>
        <v/>
      </c>
      <c r="B29" s="22"/>
      <c r="C29" s="22"/>
      <c r="D29" s="22"/>
      <c r="E29" s="22"/>
      <c r="F29" s="22"/>
      <c r="G29" s="9"/>
      <c r="H29" s="9"/>
      <c r="I29" s="22"/>
      <c r="J29" s="9"/>
      <c r="K29" s="11"/>
      <c r="L29" s="9"/>
      <c r="M29" s="22"/>
      <c r="N29" s="22"/>
      <c r="O29" s="22"/>
      <c r="P29" s="19" t="str">
        <f aca="false">IF(O29="","",IFERROR(INDEX(ライバル調査!$K:$K,MATCH(O29,ライバル調査!$B:$B,0)),"未調査"))</f>
        <v/>
      </c>
      <c r="Q29" s="22"/>
      <c r="R29" s="22"/>
    </row>
    <row r="30" customFormat="false" ht="15" hidden="false" customHeight="true" outlineLevel="0" collapsed="false">
      <c r="A30" s="19" t="str">
        <f aca="false">IF(D30="","",ROW()-1)</f>
        <v/>
      </c>
      <c r="B30" s="22"/>
      <c r="C30" s="22"/>
      <c r="D30" s="22"/>
      <c r="E30" s="22"/>
      <c r="F30" s="22"/>
      <c r="G30" s="9"/>
      <c r="H30" s="9"/>
      <c r="I30" s="22"/>
      <c r="J30" s="9"/>
      <c r="K30" s="11"/>
      <c r="L30" s="9"/>
      <c r="M30" s="22"/>
      <c r="N30" s="22"/>
      <c r="O30" s="22"/>
      <c r="P30" s="19" t="str">
        <f aca="false">IF(O30="","",IFERROR(INDEX(ライバル調査!$K:$K,MATCH(O30,ライバル調査!$B:$B,0)),"未調査"))</f>
        <v/>
      </c>
      <c r="Q30" s="22"/>
      <c r="R30" s="22"/>
    </row>
    <row r="31" customFormat="false" ht="15" hidden="false" customHeight="true" outlineLevel="0" collapsed="false">
      <c r="A31" s="19" t="str">
        <f aca="false">IF(D31="","",ROW()-1)</f>
        <v/>
      </c>
      <c r="B31" s="22"/>
      <c r="C31" s="22"/>
      <c r="D31" s="22"/>
      <c r="E31" s="22"/>
      <c r="F31" s="22"/>
      <c r="G31" s="9"/>
      <c r="H31" s="9"/>
      <c r="I31" s="22"/>
      <c r="J31" s="9"/>
      <c r="K31" s="11"/>
      <c r="L31" s="9"/>
      <c r="M31" s="22"/>
      <c r="N31" s="22"/>
      <c r="O31" s="22"/>
      <c r="P31" s="19" t="str">
        <f aca="false">IF(O31="","",IFERROR(INDEX(ライバル調査!$K:$K,MATCH(O31,ライバル調査!$B:$B,0)),"未調査"))</f>
        <v/>
      </c>
      <c r="Q31" s="22"/>
      <c r="R31" s="22"/>
    </row>
    <row r="32" customFormat="false" ht="15" hidden="false" customHeight="true" outlineLevel="0" collapsed="false">
      <c r="A32" s="19" t="str">
        <f aca="false">IF(D32="","",ROW()-1)</f>
        <v/>
      </c>
      <c r="B32" s="22"/>
      <c r="C32" s="22"/>
      <c r="D32" s="22"/>
      <c r="E32" s="22"/>
      <c r="F32" s="22"/>
      <c r="G32" s="9"/>
      <c r="H32" s="9"/>
      <c r="I32" s="22"/>
      <c r="J32" s="9"/>
      <c r="K32" s="11"/>
      <c r="L32" s="9"/>
      <c r="M32" s="22"/>
      <c r="N32" s="22"/>
      <c r="O32" s="22"/>
      <c r="P32" s="19" t="str">
        <f aca="false">IF(O32="","",IFERROR(INDEX(ライバル調査!$K:$K,MATCH(O32,ライバル調査!$B:$B,0)),"未調査"))</f>
        <v/>
      </c>
      <c r="Q32" s="22"/>
      <c r="R32" s="22"/>
    </row>
    <row r="33" customFormat="false" ht="15" hidden="false" customHeight="true" outlineLevel="0" collapsed="false">
      <c r="A33" s="19" t="str">
        <f aca="false">IF(D33="","",ROW()-1)</f>
        <v/>
      </c>
      <c r="B33" s="22"/>
      <c r="C33" s="22"/>
      <c r="D33" s="22"/>
      <c r="E33" s="22"/>
      <c r="F33" s="22"/>
      <c r="G33" s="9"/>
      <c r="H33" s="9"/>
      <c r="I33" s="22"/>
      <c r="J33" s="9"/>
      <c r="K33" s="11"/>
      <c r="L33" s="9"/>
      <c r="M33" s="22"/>
      <c r="N33" s="22"/>
      <c r="O33" s="22"/>
      <c r="P33" s="19" t="str">
        <f aca="false">IF(O33="","",IFERROR(INDEX(ライバル調査!$K:$K,MATCH(O33,ライバル調査!$B:$B,0)),"未調査"))</f>
        <v/>
      </c>
      <c r="Q33" s="22"/>
      <c r="R33" s="22"/>
    </row>
    <row r="34" customFormat="false" ht="15" hidden="false" customHeight="true" outlineLevel="0" collapsed="false">
      <c r="A34" s="19" t="str">
        <f aca="false">IF(D34="","",ROW()-1)</f>
        <v/>
      </c>
      <c r="B34" s="22"/>
      <c r="C34" s="22"/>
      <c r="D34" s="22"/>
      <c r="E34" s="22"/>
      <c r="F34" s="22"/>
      <c r="G34" s="9"/>
      <c r="H34" s="9"/>
      <c r="I34" s="22"/>
      <c r="J34" s="9"/>
      <c r="K34" s="11"/>
      <c r="L34" s="9"/>
      <c r="M34" s="22"/>
      <c r="N34" s="22"/>
      <c r="O34" s="22"/>
      <c r="P34" s="19" t="str">
        <f aca="false">IF(O34="","",IFERROR(INDEX(ライバル調査!$K:$K,MATCH(O34,ライバル調査!$B:$B,0)),"未調査"))</f>
        <v/>
      </c>
      <c r="Q34" s="22"/>
      <c r="R34" s="22"/>
    </row>
    <row r="35" customFormat="false" ht="15" hidden="false" customHeight="true" outlineLevel="0" collapsed="false">
      <c r="A35" s="19" t="str">
        <f aca="false">IF(D35="","",ROW()-1)</f>
        <v/>
      </c>
      <c r="B35" s="22"/>
      <c r="C35" s="22"/>
      <c r="D35" s="22"/>
      <c r="E35" s="22"/>
      <c r="F35" s="22"/>
      <c r="G35" s="9"/>
      <c r="H35" s="9"/>
      <c r="I35" s="22"/>
      <c r="J35" s="9"/>
      <c r="K35" s="11"/>
      <c r="L35" s="9"/>
      <c r="M35" s="22"/>
      <c r="N35" s="22"/>
      <c r="O35" s="22"/>
      <c r="P35" s="19" t="str">
        <f aca="false">IF(O35="","",IFERROR(INDEX(ライバル調査!$K:$K,MATCH(O35,ライバル調査!$B:$B,0)),"未調査"))</f>
        <v/>
      </c>
      <c r="Q35" s="22"/>
      <c r="R35" s="22"/>
    </row>
    <row r="36" customFormat="false" ht="15" hidden="false" customHeight="true" outlineLevel="0" collapsed="false">
      <c r="A36" s="19" t="str">
        <f aca="false">IF(D36="","",ROW()-1)</f>
        <v/>
      </c>
      <c r="B36" s="22"/>
      <c r="C36" s="22"/>
      <c r="D36" s="22"/>
      <c r="E36" s="22"/>
      <c r="F36" s="22"/>
      <c r="G36" s="9"/>
      <c r="H36" s="9"/>
      <c r="I36" s="22"/>
      <c r="J36" s="9"/>
      <c r="K36" s="11"/>
      <c r="L36" s="9"/>
      <c r="M36" s="22"/>
      <c r="N36" s="22"/>
      <c r="O36" s="22"/>
      <c r="P36" s="19" t="str">
        <f aca="false">IF(O36="","",IFERROR(INDEX(ライバル調査!$K:$K,MATCH(O36,ライバル調査!$B:$B,0)),"未調査"))</f>
        <v/>
      </c>
      <c r="Q36" s="22"/>
      <c r="R36" s="22"/>
    </row>
    <row r="37" customFormat="false" ht="15" hidden="false" customHeight="true" outlineLevel="0" collapsed="false">
      <c r="A37" s="19" t="str">
        <f aca="false">IF(D37="","",ROW()-1)</f>
        <v/>
      </c>
      <c r="B37" s="22"/>
      <c r="C37" s="22"/>
      <c r="D37" s="22"/>
      <c r="E37" s="22"/>
      <c r="F37" s="22"/>
      <c r="G37" s="9"/>
      <c r="H37" s="9"/>
      <c r="I37" s="22"/>
      <c r="J37" s="9"/>
      <c r="K37" s="11"/>
      <c r="L37" s="9"/>
      <c r="M37" s="22"/>
      <c r="N37" s="22"/>
      <c r="O37" s="22"/>
      <c r="P37" s="19" t="str">
        <f aca="false">IF(O37="","",IFERROR(INDEX(ライバル調査!$K:$K,MATCH(O37,ライバル調査!$B:$B,0)),"未調査"))</f>
        <v/>
      </c>
      <c r="Q37" s="22"/>
      <c r="R37" s="22"/>
    </row>
    <row r="38" customFormat="false" ht="15" hidden="false" customHeight="true" outlineLevel="0" collapsed="false">
      <c r="A38" s="19" t="str">
        <f aca="false">IF(D38="","",ROW()-1)</f>
        <v/>
      </c>
      <c r="B38" s="22"/>
      <c r="C38" s="22"/>
      <c r="D38" s="22"/>
      <c r="E38" s="22"/>
      <c r="F38" s="22"/>
      <c r="G38" s="9"/>
      <c r="H38" s="9"/>
      <c r="I38" s="22"/>
      <c r="J38" s="9"/>
      <c r="K38" s="11"/>
      <c r="L38" s="9"/>
      <c r="M38" s="22"/>
      <c r="N38" s="22"/>
      <c r="O38" s="22"/>
      <c r="P38" s="19" t="str">
        <f aca="false">IF(O38="","",IFERROR(INDEX(ライバル調査!$K:$K,MATCH(O38,ライバル調査!$B:$B,0)),"未調査"))</f>
        <v/>
      </c>
      <c r="Q38" s="22"/>
      <c r="R38" s="22"/>
    </row>
    <row r="39" customFormat="false" ht="15" hidden="false" customHeight="true" outlineLevel="0" collapsed="false">
      <c r="A39" s="19" t="str">
        <f aca="false">IF(D39="","",ROW()-1)</f>
        <v/>
      </c>
      <c r="B39" s="22"/>
      <c r="C39" s="22"/>
      <c r="D39" s="22"/>
      <c r="E39" s="22"/>
      <c r="F39" s="22"/>
      <c r="G39" s="9"/>
      <c r="H39" s="9"/>
      <c r="I39" s="22"/>
      <c r="J39" s="9"/>
      <c r="K39" s="11"/>
      <c r="L39" s="9"/>
      <c r="M39" s="22"/>
      <c r="N39" s="22"/>
      <c r="O39" s="22"/>
      <c r="P39" s="19" t="str">
        <f aca="false">IF(O39="","",IFERROR(INDEX(ライバル調査!$K:$K,MATCH(O39,ライバル調査!$B:$B,0)),"未調査"))</f>
        <v/>
      </c>
      <c r="Q39" s="22"/>
      <c r="R39" s="22"/>
    </row>
    <row r="40" customFormat="false" ht="15" hidden="false" customHeight="true" outlineLevel="0" collapsed="false">
      <c r="A40" s="19" t="str">
        <f aca="false">IF(D40="","",ROW()-1)</f>
        <v/>
      </c>
      <c r="B40" s="22"/>
      <c r="C40" s="22"/>
      <c r="D40" s="22"/>
      <c r="E40" s="22"/>
      <c r="F40" s="22"/>
      <c r="G40" s="9"/>
      <c r="H40" s="9"/>
      <c r="I40" s="22"/>
      <c r="J40" s="9"/>
      <c r="K40" s="11"/>
      <c r="L40" s="9"/>
      <c r="M40" s="22"/>
      <c r="N40" s="22"/>
      <c r="O40" s="22"/>
      <c r="P40" s="19" t="str">
        <f aca="false">IF(O40="","",IFERROR(INDEX(ライバル調査!$K:$K,MATCH(O40,ライバル調査!$B:$B,0)),"未調査"))</f>
        <v/>
      </c>
      <c r="Q40" s="22"/>
      <c r="R40" s="22"/>
    </row>
    <row r="41" customFormat="false" ht="15" hidden="false" customHeight="true" outlineLevel="0" collapsed="false">
      <c r="A41" s="19" t="str">
        <f aca="false">IF(D41="","",ROW()-1)</f>
        <v/>
      </c>
      <c r="B41" s="22"/>
      <c r="C41" s="22"/>
      <c r="D41" s="22"/>
      <c r="E41" s="22"/>
      <c r="F41" s="22"/>
      <c r="G41" s="9"/>
      <c r="H41" s="9"/>
      <c r="I41" s="22"/>
      <c r="J41" s="9"/>
      <c r="K41" s="11"/>
      <c r="L41" s="9"/>
      <c r="M41" s="22"/>
      <c r="N41" s="22"/>
      <c r="O41" s="22"/>
      <c r="P41" s="19" t="str">
        <f aca="false">IF(O41="","",IFERROR(INDEX(ライバル調査!$K:$K,MATCH(O41,ライバル調査!$B:$B,0)),"未調査"))</f>
        <v/>
      </c>
      <c r="Q41" s="22"/>
      <c r="R41" s="22"/>
    </row>
    <row r="42" customFormat="false" ht="15" hidden="false" customHeight="true" outlineLevel="0" collapsed="false">
      <c r="A42" s="19" t="str">
        <f aca="false">IF(D42="","",ROW()-1)</f>
        <v/>
      </c>
      <c r="B42" s="22"/>
      <c r="C42" s="22"/>
      <c r="D42" s="22"/>
      <c r="E42" s="22"/>
      <c r="F42" s="22"/>
      <c r="G42" s="9"/>
      <c r="H42" s="9"/>
      <c r="I42" s="22"/>
      <c r="J42" s="9"/>
      <c r="K42" s="11"/>
      <c r="L42" s="9"/>
      <c r="M42" s="22"/>
      <c r="N42" s="22"/>
      <c r="O42" s="22"/>
      <c r="P42" s="19" t="str">
        <f aca="false">IF(O42="","",IFERROR(INDEX(ライバル調査!$K:$K,MATCH(O42,ライバル調査!$B:$B,0)),"未調査"))</f>
        <v/>
      </c>
      <c r="Q42" s="22"/>
      <c r="R42" s="22"/>
    </row>
    <row r="43" customFormat="false" ht="15" hidden="false" customHeight="true" outlineLevel="0" collapsed="false">
      <c r="A43" s="19" t="str">
        <f aca="false">IF(D43="","",ROW()-1)</f>
        <v/>
      </c>
      <c r="B43" s="22"/>
      <c r="C43" s="22"/>
      <c r="D43" s="22"/>
      <c r="E43" s="22"/>
      <c r="F43" s="22"/>
      <c r="G43" s="9"/>
      <c r="H43" s="9"/>
      <c r="I43" s="22"/>
      <c r="J43" s="9"/>
      <c r="K43" s="11"/>
      <c r="L43" s="9"/>
      <c r="M43" s="22"/>
      <c r="N43" s="22"/>
      <c r="O43" s="22"/>
      <c r="P43" s="19" t="str">
        <f aca="false">IF(O43="","",IFERROR(INDEX(ライバル調査!$K:$K,MATCH(O43,ライバル調査!$B:$B,0)),"未調査"))</f>
        <v/>
      </c>
      <c r="Q43" s="22"/>
      <c r="R43" s="22"/>
    </row>
    <row r="44" customFormat="false" ht="15" hidden="false" customHeight="true" outlineLevel="0" collapsed="false">
      <c r="A44" s="19" t="str">
        <f aca="false">IF(D44="","",ROW()-1)</f>
        <v/>
      </c>
      <c r="B44" s="22"/>
      <c r="C44" s="22"/>
      <c r="D44" s="22"/>
      <c r="E44" s="22"/>
      <c r="F44" s="22"/>
      <c r="G44" s="9"/>
      <c r="H44" s="9"/>
      <c r="I44" s="22"/>
      <c r="J44" s="9"/>
      <c r="K44" s="11"/>
      <c r="L44" s="9"/>
      <c r="M44" s="22"/>
      <c r="N44" s="22"/>
      <c r="O44" s="22"/>
      <c r="P44" s="19" t="str">
        <f aca="false">IF(O44="","",IFERROR(INDEX(ライバル調査!$K:$K,MATCH(O44,ライバル調査!$B:$B,0)),"未調査"))</f>
        <v/>
      </c>
      <c r="Q44" s="22"/>
      <c r="R44" s="22"/>
    </row>
    <row r="45" customFormat="false" ht="15" hidden="false" customHeight="true" outlineLevel="0" collapsed="false">
      <c r="A45" s="19" t="str">
        <f aca="false">IF(D45="","",ROW()-1)</f>
        <v/>
      </c>
      <c r="B45" s="22"/>
      <c r="C45" s="22"/>
      <c r="D45" s="22"/>
      <c r="E45" s="22"/>
      <c r="F45" s="22"/>
      <c r="G45" s="9"/>
      <c r="H45" s="9"/>
      <c r="I45" s="22"/>
      <c r="J45" s="9"/>
      <c r="K45" s="11"/>
      <c r="L45" s="9"/>
      <c r="M45" s="22"/>
      <c r="N45" s="22"/>
      <c r="O45" s="22"/>
      <c r="P45" s="19" t="str">
        <f aca="false">IF(O45="","",IFERROR(INDEX(ライバル調査!$K:$K,MATCH(O45,ライバル調査!$B:$B,0)),"未調査"))</f>
        <v/>
      </c>
      <c r="Q45" s="22"/>
      <c r="R45" s="22"/>
    </row>
    <row r="46" customFormat="false" ht="15" hidden="false" customHeight="true" outlineLevel="0" collapsed="false">
      <c r="A46" s="19" t="str">
        <f aca="false">IF(D46="","",ROW()-1)</f>
        <v/>
      </c>
      <c r="B46" s="22"/>
      <c r="C46" s="22"/>
      <c r="D46" s="22"/>
      <c r="E46" s="22"/>
      <c r="F46" s="22"/>
      <c r="G46" s="9"/>
      <c r="H46" s="9"/>
      <c r="I46" s="22"/>
      <c r="J46" s="9"/>
      <c r="K46" s="11"/>
      <c r="L46" s="9"/>
      <c r="M46" s="22"/>
      <c r="N46" s="22"/>
      <c r="O46" s="22"/>
      <c r="P46" s="19" t="str">
        <f aca="false">IF(O46="","",IFERROR(INDEX(ライバル調査!$K:$K,MATCH(O46,ライバル調査!$B:$B,0)),"未調査"))</f>
        <v/>
      </c>
      <c r="Q46" s="22"/>
      <c r="R46" s="22"/>
    </row>
    <row r="47" customFormat="false" ht="15" hidden="false" customHeight="true" outlineLevel="0" collapsed="false">
      <c r="A47" s="19" t="str">
        <f aca="false">IF(D47="","",ROW()-1)</f>
        <v/>
      </c>
      <c r="B47" s="22"/>
      <c r="C47" s="22"/>
      <c r="D47" s="22"/>
      <c r="E47" s="22"/>
      <c r="F47" s="22"/>
      <c r="G47" s="9"/>
      <c r="H47" s="9"/>
      <c r="I47" s="22"/>
      <c r="J47" s="9"/>
      <c r="K47" s="11"/>
      <c r="L47" s="9"/>
      <c r="M47" s="22"/>
      <c r="N47" s="22"/>
      <c r="O47" s="22"/>
      <c r="P47" s="19" t="str">
        <f aca="false">IF(O47="","",IFERROR(INDEX(ライバル調査!$K:$K,MATCH(O47,ライバル調査!$B:$B,0)),"未調査"))</f>
        <v/>
      </c>
      <c r="Q47" s="22"/>
      <c r="R47" s="22"/>
    </row>
    <row r="48" customFormat="false" ht="15" hidden="false" customHeight="true" outlineLevel="0" collapsed="false">
      <c r="A48" s="19" t="str">
        <f aca="false">IF(D48="","",ROW()-1)</f>
        <v/>
      </c>
      <c r="B48" s="22"/>
      <c r="C48" s="22"/>
      <c r="D48" s="22"/>
      <c r="E48" s="22"/>
      <c r="F48" s="22"/>
      <c r="G48" s="9"/>
      <c r="H48" s="9"/>
      <c r="I48" s="22"/>
      <c r="J48" s="9"/>
      <c r="K48" s="11"/>
      <c r="L48" s="9"/>
      <c r="M48" s="22"/>
      <c r="N48" s="22"/>
      <c r="O48" s="22"/>
      <c r="P48" s="19" t="str">
        <f aca="false">IF(O48="","",IFERROR(INDEX(ライバル調査!$K:$K,MATCH(O48,ライバル調査!$B:$B,0)),"未調査"))</f>
        <v/>
      </c>
      <c r="Q48" s="22"/>
      <c r="R48" s="22"/>
    </row>
    <row r="49" customFormat="false" ht="15" hidden="false" customHeight="true" outlineLevel="0" collapsed="false">
      <c r="A49" s="19" t="str">
        <f aca="false">IF(D49="","",ROW()-1)</f>
        <v/>
      </c>
      <c r="B49" s="22"/>
      <c r="C49" s="22"/>
      <c r="D49" s="22"/>
      <c r="E49" s="22"/>
      <c r="F49" s="22"/>
      <c r="G49" s="9"/>
      <c r="H49" s="9"/>
      <c r="I49" s="22"/>
      <c r="J49" s="9"/>
      <c r="K49" s="11"/>
      <c r="L49" s="9"/>
      <c r="M49" s="22"/>
      <c r="N49" s="22"/>
      <c r="O49" s="22"/>
      <c r="P49" s="19" t="str">
        <f aca="false">IF(O49="","",IFERROR(INDEX(ライバル調査!$K:$K,MATCH(O49,ライバル調査!$B:$B,0)),"未調査"))</f>
        <v/>
      </c>
      <c r="Q49" s="22"/>
      <c r="R49" s="22"/>
    </row>
    <row r="50" customFormat="false" ht="15" hidden="false" customHeight="true" outlineLevel="0" collapsed="false">
      <c r="A50" s="19" t="str">
        <f aca="false">IF(D50="","",ROW()-1)</f>
        <v/>
      </c>
      <c r="B50" s="22"/>
      <c r="C50" s="22"/>
      <c r="D50" s="22"/>
      <c r="E50" s="22"/>
      <c r="F50" s="22"/>
      <c r="G50" s="9"/>
      <c r="H50" s="9"/>
      <c r="I50" s="22"/>
      <c r="J50" s="9"/>
      <c r="K50" s="11"/>
      <c r="L50" s="9"/>
      <c r="M50" s="22"/>
      <c r="N50" s="22"/>
      <c r="O50" s="22"/>
      <c r="P50" s="19" t="str">
        <f aca="false">IF(O50="","",IFERROR(INDEX(ライバル調査!$K:$K,MATCH(O50,ライバル調査!$B:$B,0)),"未調査"))</f>
        <v/>
      </c>
      <c r="Q50" s="22"/>
      <c r="R50" s="22"/>
    </row>
    <row r="51" customFormat="false" ht="15" hidden="false" customHeight="true" outlineLevel="0" collapsed="false">
      <c r="A51" s="19" t="str">
        <f aca="false">IF(D51="","",ROW()-1)</f>
        <v/>
      </c>
      <c r="B51" s="22"/>
      <c r="C51" s="22"/>
      <c r="D51" s="22"/>
      <c r="E51" s="22"/>
      <c r="F51" s="22"/>
      <c r="G51" s="9"/>
      <c r="H51" s="9"/>
      <c r="I51" s="22"/>
      <c r="J51" s="9"/>
      <c r="K51" s="11"/>
      <c r="L51" s="9"/>
      <c r="M51" s="22"/>
      <c r="N51" s="22"/>
      <c r="O51" s="22"/>
      <c r="P51" s="19" t="str">
        <f aca="false">IF(O51="","",IFERROR(INDEX(ライバル調査!$K:$K,MATCH(O51,ライバル調査!$B:$B,0)),"未調査"))</f>
        <v/>
      </c>
      <c r="Q51" s="22"/>
      <c r="R51" s="22"/>
    </row>
    <row r="52" customFormat="false" ht="15" hidden="false" customHeight="true" outlineLevel="0" collapsed="false">
      <c r="A52" s="19" t="str">
        <f aca="false">IF(D52="","",ROW()-1)</f>
        <v/>
      </c>
      <c r="B52" s="22"/>
      <c r="C52" s="22"/>
      <c r="D52" s="22"/>
      <c r="E52" s="22"/>
      <c r="F52" s="22"/>
      <c r="G52" s="9"/>
      <c r="H52" s="9"/>
      <c r="I52" s="22"/>
      <c r="J52" s="9"/>
      <c r="K52" s="11"/>
      <c r="L52" s="9"/>
      <c r="M52" s="22"/>
      <c r="N52" s="22"/>
      <c r="O52" s="22"/>
      <c r="P52" s="19" t="str">
        <f aca="false">IF(O52="","",IFERROR(INDEX(ライバル調査!$K:$K,MATCH(O52,ライバル調査!$B:$B,0)),"未調査"))</f>
        <v/>
      </c>
      <c r="Q52" s="22"/>
      <c r="R52" s="22"/>
    </row>
    <row r="53" customFormat="false" ht="15" hidden="false" customHeight="true" outlineLevel="0" collapsed="false">
      <c r="A53" s="19" t="str">
        <f aca="false">IF(D53="","",ROW()-1)</f>
        <v/>
      </c>
      <c r="B53" s="22"/>
      <c r="C53" s="22"/>
      <c r="D53" s="22"/>
      <c r="E53" s="22"/>
      <c r="F53" s="22"/>
      <c r="G53" s="9"/>
      <c r="H53" s="9"/>
      <c r="I53" s="22"/>
      <c r="J53" s="9"/>
      <c r="K53" s="11"/>
      <c r="L53" s="9"/>
      <c r="M53" s="22"/>
      <c r="N53" s="22"/>
      <c r="O53" s="22"/>
      <c r="P53" s="19" t="str">
        <f aca="false">IF(O53="","",IFERROR(INDEX(ライバル調査!$K:$K,MATCH(O53,ライバル調査!$B:$B,0)),"未調査"))</f>
        <v/>
      </c>
      <c r="Q53" s="22"/>
      <c r="R53" s="22"/>
    </row>
    <row r="54" customFormat="false" ht="15" hidden="false" customHeight="true" outlineLevel="0" collapsed="false">
      <c r="A54" s="19" t="str">
        <f aca="false">IF(D54="","",ROW()-1)</f>
        <v/>
      </c>
      <c r="B54" s="22"/>
      <c r="C54" s="22"/>
      <c r="D54" s="22"/>
      <c r="E54" s="22"/>
      <c r="F54" s="22"/>
      <c r="G54" s="9"/>
      <c r="H54" s="9"/>
      <c r="I54" s="22"/>
      <c r="J54" s="9"/>
      <c r="K54" s="11"/>
      <c r="L54" s="9"/>
      <c r="M54" s="22"/>
      <c r="N54" s="22"/>
      <c r="O54" s="22"/>
      <c r="P54" s="19" t="str">
        <f aca="false">IF(O54="","",IFERROR(INDEX(ライバル調査!$K:$K,MATCH(O54,ライバル調査!$B:$B,0)),"未調査"))</f>
        <v/>
      </c>
      <c r="Q54" s="22"/>
      <c r="R54" s="22"/>
    </row>
    <row r="55" customFormat="false" ht="15" hidden="false" customHeight="true" outlineLevel="0" collapsed="false">
      <c r="A55" s="19" t="str">
        <f aca="false">IF(D55="","",ROW()-1)</f>
        <v/>
      </c>
      <c r="B55" s="22"/>
      <c r="C55" s="22"/>
      <c r="D55" s="22"/>
      <c r="E55" s="22"/>
      <c r="F55" s="22"/>
      <c r="G55" s="9"/>
      <c r="H55" s="9"/>
      <c r="I55" s="22"/>
      <c r="J55" s="9"/>
      <c r="K55" s="11"/>
      <c r="L55" s="9"/>
      <c r="M55" s="22"/>
      <c r="N55" s="22"/>
      <c r="O55" s="22"/>
      <c r="P55" s="19" t="str">
        <f aca="false">IF(O55="","",IFERROR(INDEX(ライバル調査!$K:$K,MATCH(O55,ライバル調査!$B:$B,0)),"未調査"))</f>
        <v/>
      </c>
      <c r="Q55" s="22"/>
      <c r="R55" s="22"/>
    </row>
    <row r="56" customFormat="false" ht="15" hidden="false" customHeight="true" outlineLevel="0" collapsed="false">
      <c r="A56" s="19" t="str">
        <f aca="false">IF(D56="","",ROW()-1)</f>
        <v/>
      </c>
      <c r="B56" s="22"/>
      <c r="C56" s="22"/>
      <c r="D56" s="22"/>
      <c r="E56" s="22"/>
      <c r="F56" s="22"/>
      <c r="G56" s="9"/>
      <c r="H56" s="9"/>
      <c r="I56" s="22"/>
      <c r="J56" s="9"/>
      <c r="K56" s="11"/>
      <c r="L56" s="9"/>
      <c r="M56" s="22"/>
      <c r="N56" s="22"/>
      <c r="O56" s="22"/>
      <c r="P56" s="19" t="str">
        <f aca="false">IF(O56="","",IFERROR(INDEX(ライバル調査!$K:$K,MATCH(O56,ライバル調査!$B:$B,0)),"未調査"))</f>
        <v/>
      </c>
      <c r="Q56" s="22"/>
      <c r="R56" s="22"/>
    </row>
    <row r="57" customFormat="false" ht="15" hidden="false" customHeight="true" outlineLevel="0" collapsed="false">
      <c r="A57" s="19" t="str">
        <f aca="false">IF(D57="","",ROW()-1)</f>
        <v/>
      </c>
      <c r="B57" s="22"/>
      <c r="C57" s="22"/>
      <c r="D57" s="22"/>
      <c r="E57" s="22"/>
      <c r="F57" s="22"/>
      <c r="G57" s="9"/>
      <c r="H57" s="9"/>
      <c r="I57" s="22"/>
      <c r="J57" s="9"/>
      <c r="K57" s="11"/>
      <c r="L57" s="9"/>
      <c r="M57" s="22"/>
      <c r="N57" s="22"/>
      <c r="O57" s="22"/>
      <c r="P57" s="19" t="str">
        <f aca="false">IF(O57="","",IFERROR(INDEX(ライバル調査!$K:$K,MATCH(O57,ライバル調査!$B:$B,0)),"未調査"))</f>
        <v/>
      </c>
      <c r="Q57" s="22"/>
      <c r="R57" s="22"/>
    </row>
    <row r="58" customFormat="false" ht="15" hidden="false" customHeight="true" outlineLevel="0" collapsed="false">
      <c r="A58" s="19" t="str">
        <f aca="false">IF(D58="","",ROW()-1)</f>
        <v/>
      </c>
      <c r="B58" s="22"/>
      <c r="C58" s="22"/>
      <c r="D58" s="22"/>
      <c r="E58" s="22"/>
      <c r="F58" s="22"/>
      <c r="G58" s="9"/>
      <c r="H58" s="9"/>
      <c r="I58" s="22"/>
      <c r="J58" s="9"/>
      <c r="K58" s="11"/>
      <c r="L58" s="9"/>
      <c r="M58" s="22"/>
      <c r="N58" s="22"/>
      <c r="O58" s="22"/>
      <c r="P58" s="19" t="str">
        <f aca="false">IF(O58="","",IFERROR(INDEX(ライバル調査!$K:$K,MATCH(O58,ライバル調査!$B:$B,0)),"未調査"))</f>
        <v/>
      </c>
      <c r="Q58" s="22"/>
      <c r="R58" s="22"/>
    </row>
    <row r="59" customFormat="false" ht="15" hidden="false" customHeight="true" outlineLevel="0" collapsed="false">
      <c r="A59" s="19" t="str">
        <f aca="false">IF(D59="","",ROW()-1)</f>
        <v/>
      </c>
      <c r="B59" s="22"/>
      <c r="C59" s="22"/>
      <c r="D59" s="22"/>
      <c r="E59" s="22"/>
      <c r="F59" s="22"/>
      <c r="G59" s="9"/>
      <c r="H59" s="9"/>
      <c r="I59" s="22"/>
      <c r="J59" s="9"/>
      <c r="K59" s="11"/>
      <c r="L59" s="9"/>
      <c r="M59" s="22"/>
      <c r="N59" s="22"/>
      <c r="O59" s="22"/>
      <c r="P59" s="19" t="str">
        <f aca="false">IF(O59="","",IFERROR(INDEX(ライバル調査!$K:$K,MATCH(O59,ライバル調査!$B:$B,0)),"未調査"))</f>
        <v/>
      </c>
      <c r="Q59" s="22"/>
      <c r="R59" s="22"/>
    </row>
    <row r="60" customFormat="false" ht="15" hidden="false" customHeight="true" outlineLevel="0" collapsed="false">
      <c r="A60" s="19" t="str">
        <f aca="false">IF(D60="","",ROW()-1)</f>
        <v/>
      </c>
      <c r="B60" s="22"/>
      <c r="C60" s="22"/>
      <c r="D60" s="22"/>
      <c r="E60" s="22"/>
      <c r="F60" s="22"/>
      <c r="G60" s="9"/>
      <c r="H60" s="9"/>
      <c r="I60" s="22"/>
      <c r="J60" s="9"/>
      <c r="K60" s="11"/>
      <c r="L60" s="9"/>
      <c r="M60" s="22"/>
      <c r="N60" s="22"/>
      <c r="O60" s="22"/>
      <c r="P60" s="19" t="str">
        <f aca="false">IF(O60="","",IFERROR(INDEX(ライバル調査!$K:$K,MATCH(O60,ライバル調査!$B:$B,0)),"未調査"))</f>
        <v/>
      </c>
      <c r="Q60" s="22"/>
      <c r="R60" s="22"/>
    </row>
    <row r="61" customFormat="false" ht="15" hidden="false" customHeight="true" outlineLevel="0" collapsed="false">
      <c r="A61" s="19" t="str">
        <f aca="false">IF(D61="","",ROW()-1)</f>
        <v/>
      </c>
      <c r="B61" s="22"/>
      <c r="C61" s="22"/>
      <c r="D61" s="22"/>
      <c r="E61" s="22"/>
      <c r="F61" s="22"/>
      <c r="G61" s="9"/>
      <c r="H61" s="9"/>
      <c r="I61" s="22"/>
      <c r="J61" s="9"/>
      <c r="K61" s="11"/>
      <c r="L61" s="9"/>
      <c r="M61" s="22"/>
      <c r="N61" s="22"/>
      <c r="O61" s="22"/>
      <c r="P61" s="19" t="str">
        <f aca="false">IF(O61="","",IFERROR(INDEX(ライバル調査!$K:$K,MATCH(O61,ライバル調査!$B:$B,0)),"未調査"))</f>
        <v/>
      </c>
      <c r="Q61" s="22"/>
      <c r="R61" s="22"/>
    </row>
    <row r="62" customFormat="false" ht="15" hidden="false" customHeight="true" outlineLevel="0" collapsed="false">
      <c r="A62" s="19" t="str">
        <f aca="false">IF(D62="","",ROW()-1)</f>
        <v/>
      </c>
      <c r="B62" s="22"/>
      <c r="C62" s="22"/>
      <c r="D62" s="22"/>
      <c r="E62" s="22"/>
      <c r="F62" s="22"/>
      <c r="G62" s="9"/>
      <c r="H62" s="9"/>
      <c r="I62" s="22"/>
      <c r="J62" s="9"/>
      <c r="K62" s="11"/>
      <c r="L62" s="9"/>
      <c r="M62" s="22"/>
      <c r="N62" s="22"/>
      <c r="O62" s="22"/>
      <c r="P62" s="19" t="str">
        <f aca="false">IF(O62="","",IFERROR(INDEX(ライバル調査!$K:$K,MATCH(O62,ライバル調査!$B:$B,0)),"未調査"))</f>
        <v/>
      </c>
      <c r="Q62" s="22"/>
      <c r="R62" s="22"/>
    </row>
    <row r="63" customFormat="false" ht="15" hidden="false" customHeight="true" outlineLevel="0" collapsed="false">
      <c r="A63" s="19" t="str">
        <f aca="false">IF(D63="","",ROW()-1)</f>
        <v/>
      </c>
      <c r="B63" s="22"/>
      <c r="C63" s="22"/>
      <c r="D63" s="22"/>
      <c r="E63" s="22"/>
      <c r="F63" s="22"/>
      <c r="G63" s="9"/>
      <c r="H63" s="9"/>
      <c r="I63" s="22"/>
      <c r="J63" s="9"/>
      <c r="K63" s="11"/>
      <c r="L63" s="9"/>
      <c r="M63" s="22"/>
      <c r="N63" s="22"/>
      <c r="O63" s="22"/>
      <c r="P63" s="19" t="str">
        <f aca="false">IF(O63="","",IFERROR(INDEX(ライバル調査!$K:$K,MATCH(O63,ライバル調査!$B:$B,0)),"未調査"))</f>
        <v/>
      </c>
      <c r="Q63" s="22"/>
      <c r="R63" s="22"/>
    </row>
    <row r="64" customFormat="false" ht="15" hidden="false" customHeight="true" outlineLevel="0" collapsed="false">
      <c r="A64" s="19" t="str">
        <f aca="false">IF(D64="","",ROW()-1)</f>
        <v/>
      </c>
      <c r="B64" s="22"/>
      <c r="C64" s="22"/>
      <c r="D64" s="22"/>
      <c r="E64" s="22"/>
      <c r="F64" s="22"/>
      <c r="G64" s="9"/>
      <c r="H64" s="9"/>
      <c r="I64" s="22"/>
      <c r="J64" s="9"/>
      <c r="K64" s="11"/>
      <c r="L64" s="9"/>
      <c r="M64" s="22"/>
      <c r="N64" s="22"/>
      <c r="O64" s="22"/>
      <c r="P64" s="19" t="str">
        <f aca="false">IF(O64="","",IFERROR(INDEX(ライバル調査!$K:$K,MATCH(O64,ライバル調査!$B:$B,0)),"未調査"))</f>
        <v/>
      </c>
      <c r="Q64" s="22"/>
      <c r="R64" s="22"/>
    </row>
    <row r="65" customFormat="false" ht="15" hidden="false" customHeight="true" outlineLevel="0" collapsed="false">
      <c r="A65" s="19" t="str">
        <f aca="false">IF(D65="","",ROW()-1)</f>
        <v/>
      </c>
      <c r="B65" s="22"/>
      <c r="C65" s="22"/>
      <c r="D65" s="22"/>
      <c r="E65" s="22"/>
      <c r="F65" s="22"/>
      <c r="G65" s="9"/>
      <c r="H65" s="9"/>
      <c r="I65" s="22"/>
      <c r="J65" s="9"/>
      <c r="K65" s="11"/>
      <c r="L65" s="9"/>
      <c r="M65" s="22"/>
      <c r="N65" s="22"/>
      <c r="O65" s="22"/>
      <c r="P65" s="19" t="str">
        <f aca="false">IF(O65="","",IFERROR(INDEX(ライバル調査!$K:$K,MATCH(O65,ライバル調査!$B:$B,0)),"未調査"))</f>
        <v/>
      </c>
      <c r="Q65" s="22"/>
      <c r="R65" s="22"/>
    </row>
    <row r="66" customFormat="false" ht="15" hidden="false" customHeight="true" outlineLevel="0" collapsed="false">
      <c r="A66" s="19" t="str">
        <f aca="false">IF(D66="","",ROW()-1)</f>
        <v/>
      </c>
      <c r="B66" s="22"/>
      <c r="C66" s="22"/>
      <c r="D66" s="22"/>
      <c r="E66" s="22"/>
      <c r="F66" s="22"/>
      <c r="G66" s="9"/>
      <c r="H66" s="9"/>
      <c r="I66" s="22"/>
      <c r="J66" s="9"/>
      <c r="K66" s="11"/>
      <c r="L66" s="9"/>
      <c r="M66" s="22"/>
      <c r="N66" s="22"/>
      <c r="O66" s="22"/>
      <c r="P66" s="19" t="str">
        <f aca="false">IF(O66="","",IFERROR(INDEX(ライバル調査!$K:$K,MATCH(O66,ライバル調査!$B:$B,0)),"未調査"))</f>
        <v/>
      </c>
      <c r="Q66" s="22"/>
      <c r="R66" s="22"/>
    </row>
    <row r="67" customFormat="false" ht="15" hidden="false" customHeight="true" outlineLevel="0" collapsed="false">
      <c r="A67" s="19" t="str">
        <f aca="false">IF(D67="","",ROW()-1)</f>
        <v/>
      </c>
      <c r="B67" s="22"/>
      <c r="C67" s="22"/>
      <c r="D67" s="22"/>
      <c r="E67" s="22"/>
      <c r="F67" s="22"/>
      <c r="G67" s="9"/>
      <c r="H67" s="9"/>
      <c r="I67" s="22"/>
      <c r="J67" s="9"/>
      <c r="K67" s="11"/>
      <c r="L67" s="9"/>
      <c r="M67" s="22"/>
      <c r="N67" s="22"/>
      <c r="O67" s="22"/>
      <c r="P67" s="19" t="str">
        <f aca="false">IF(O67="","",IFERROR(INDEX(ライバル調査!$K:$K,MATCH(O67,ライバル調査!$B:$B,0)),"未調査"))</f>
        <v/>
      </c>
      <c r="Q67" s="22"/>
      <c r="R67" s="22"/>
    </row>
    <row r="68" customFormat="false" ht="15" hidden="false" customHeight="true" outlineLevel="0" collapsed="false">
      <c r="A68" s="19" t="str">
        <f aca="false">IF(D68="","",ROW()-1)</f>
        <v/>
      </c>
      <c r="B68" s="22"/>
      <c r="C68" s="22"/>
      <c r="D68" s="22"/>
      <c r="E68" s="22"/>
      <c r="F68" s="22"/>
      <c r="G68" s="9"/>
      <c r="H68" s="9"/>
      <c r="I68" s="22"/>
      <c r="J68" s="9"/>
      <c r="K68" s="11"/>
      <c r="L68" s="9"/>
      <c r="M68" s="22"/>
      <c r="N68" s="22"/>
      <c r="O68" s="22"/>
      <c r="P68" s="19" t="str">
        <f aca="false">IF(O68="","",IFERROR(INDEX(ライバル調査!$K:$K,MATCH(O68,ライバル調査!$B:$B,0)),"未調査"))</f>
        <v/>
      </c>
      <c r="Q68" s="22"/>
      <c r="R68" s="22"/>
    </row>
    <row r="69" customFormat="false" ht="15" hidden="false" customHeight="true" outlineLevel="0" collapsed="false">
      <c r="A69" s="19" t="str">
        <f aca="false">IF(D69="","",ROW()-1)</f>
        <v/>
      </c>
      <c r="B69" s="22"/>
      <c r="C69" s="22"/>
      <c r="D69" s="22"/>
      <c r="E69" s="22"/>
      <c r="F69" s="22"/>
      <c r="G69" s="9"/>
      <c r="H69" s="9"/>
      <c r="I69" s="22"/>
      <c r="J69" s="9"/>
      <c r="K69" s="11"/>
      <c r="L69" s="9"/>
      <c r="M69" s="22"/>
      <c r="N69" s="22"/>
      <c r="O69" s="22"/>
      <c r="P69" s="19" t="str">
        <f aca="false">IF(O69="","",IFERROR(INDEX(ライバル調査!$K:$K,MATCH(O69,ライバル調査!$B:$B,0)),"未調査"))</f>
        <v/>
      </c>
      <c r="Q69" s="22"/>
      <c r="R69" s="22"/>
    </row>
    <row r="70" customFormat="false" ht="15" hidden="false" customHeight="true" outlineLevel="0" collapsed="false">
      <c r="A70" s="19" t="str">
        <f aca="false">IF(D70="","",ROW()-1)</f>
        <v/>
      </c>
      <c r="B70" s="22"/>
      <c r="C70" s="22"/>
      <c r="D70" s="22"/>
      <c r="E70" s="22"/>
      <c r="F70" s="22"/>
      <c r="G70" s="9"/>
      <c r="H70" s="9"/>
      <c r="I70" s="22"/>
      <c r="J70" s="9"/>
      <c r="K70" s="11"/>
      <c r="L70" s="9"/>
      <c r="M70" s="22"/>
      <c r="N70" s="22"/>
      <c r="O70" s="22"/>
      <c r="P70" s="19" t="str">
        <f aca="false">IF(O70="","",IFERROR(INDEX(ライバル調査!$K:$K,MATCH(O70,ライバル調査!$B:$B,0)),"未調査"))</f>
        <v/>
      </c>
      <c r="Q70" s="22"/>
      <c r="R70" s="22"/>
    </row>
    <row r="71" customFormat="false" ht="15" hidden="false" customHeight="true" outlineLevel="0" collapsed="false">
      <c r="A71" s="19" t="str">
        <f aca="false">IF(D71="","",ROW()-1)</f>
        <v/>
      </c>
      <c r="B71" s="22"/>
      <c r="C71" s="22"/>
      <c r="D71" s="22"/>
      <c r="E71" s="22"/>
      <c r="F71" s="22"/>
      <c r="G71" s="9"/>
      <c r="H71" s="9"/>
      <c r="I71" s="22"/>
      <c r="J71" s="9"/>
      <c r="K71" s="11"/>
      <c r="L71" s="9"/>
      <c r="M71" s="22"/>
      <c r="N71" s="22"/>
      <c r="O71" s="22"/>
      <c r="P71" s="19" t="str">
        <f aca="false">IF(O71="","",IFERROR(INDEX(ライバル調査!$K:$K,MATCH(O71,ライバル調査!$B:$B,0)),"未調査"))</f>
        <v/>
      </c>
      <c r="Q71" s="22"/>
      <c r="R71" s="22"/>
    </row>
    <row r="72" customFormat="false" ht="15" hidden="false" customHeight="true" outlineLevel="0" collapsed="false">
      <c r="A72" s="19" t="str">
        <f aca="false">IF(D72="","",ROW()-1)</f>
        <v/>
      </c>
      <c r="B72" s="22"/>
      <c r="C72" s="22"/>
      <c r="D72" s="22"/>
      <c r="E72" s="22"/>
      <c r="F72" s="22"/>
      <c r="G72" s="9"/>
      <c r="H72" s="9"/>
      <c r="I72" s="22"/>
      <c r="J72" s="9"/>
      <c r="K72" s="11"/>
      <c r="L72" s="9"/>
      <c r="M72" s="22"/>
      <c r="N72" s="22"/>
      <c r="O72" s="22"/>
      <c r="P72" s="19" t="str">
        <f aca="false">IF(O72="","",IFERROR(INDEX(ライバル調査!$K:$K,MATCH(O72,ライバル調査!$B:$B,0)),"未調査"))</f>
        <v/>
      </c>
      <c r="Q72" s="22"/>
      <c r="R72" s="22"/>
    </row>
    <row r="73" customFormat="false" ht="15" hidden="false" customHeight="true" outlineLevel="0" collapsed="false">
      <c r="A73" s="19" t="str">
        <f aca="false">IF(D73="","",ROW()-1)</f>
        <v/>
      </c>
      <c r="B73" s="22"/>
      <c r="C73" s="22"/>
      <c r="D73" s="22"/>
      <c r="E73" s="22"/>
      <c r="F73" s="22"/>
      <c r="G73" s="9"/>
      <c r="H73" s="9"/>
      <c r="I73" s="22"/>
      <c r="J73" s="9"/>
      <c r="K73" s="11"/>
      <c r="L73" s="9"/>
      <c r="M73" s="22"/>
      <c r="N73" s="22"/>
      <c r="O73" s="22"/>
      <c r="P73" s="19" t="str">
        <f aca="false">IF(O73="","",IFERROR(INDEX(ライバル調査!$K:$K,MATCH(O73,ライバル調査!$B:$B,0)),"未調査"))</f>
        <v/>
      </c>
      <c r="Q73" s="22"/>
      <c r="R73" s="22"/>
    </row>
    <row r="74" customFormat="false" ht="15" hidden="false" customHeight="true" outlineLevel="0" collapsed="false">
      <c r="A74" s="19" t="str">
        <f aca="false">IF(D74="","",ROW()-1)</f>
        <v/>
      </c>
      <c r="B74" s="22"/>
      <c r="C74" s="22"/>
      <c r="D74" s="22"/>
      <c r="E74" s="22"/>
      <c r="F74" s="22"/>
      <c r="G74" s="9"/>
      <c r="H74" s="9"/>
      <c r="I74" s="22"/>
      <c r="J74" s="9"/>
      <c r="K74" s="11"/>
      <c r="L74" s="9"/>
      <c r="M74" s="22"/>
      <c r="N74" s="22"/>
      <c r="O74" s="22"/>
      <c r="P74" s="19" t="str">
        <f aca="false">IF(O74="","",IFERROR(INDEX(ライバル調査!$K:$K,MATCH(O74,ライバル調査!$B:$B,0)),"未調査"))</f>
        <v/>
      </c>
      <c r="Q74" s="22"/>
      <c r="R74" s="22"/>
    </row>
    <row r="75" customFormat="false" ht="15" hidden="false" customHeight="true" outlineLevel="0" collapsed="false">
      <c r="A75" s="19" t="str">
        <f aca="false">IF(D75="","",ROW()-1)</f>
        <v/>
      </c>
      <c r="B75" s="22"/>
      <c r="C75" s="22"/>
      <c r="D75" s="22"/>
      <c r="E75" s="22"/>
      <c r="F75" s="22"/>
      <c r="G75" s="9"/>
      <c r="H75" s="9"/>
      <c r="I75" s="22"/>
      <c r="J75" s="9"/>
      <c r="K75" s="11"/>
      <c r="L75" s="9"/>
      <c r="M75" s="22"/>
      <c r="N75" s="22"/>
      <c r="O75" s="22"/>
      <c r="P75" s="19" t="str">
        <f aca="false">IF(O75="","",IFERROR(INDEX(ライバル調査!$K:$K,MATCH(O75,ライバル調査!$B:$B,0)),"未調査"))</f>
        <v/>
      </c>
      <c r="Q75" s="22"/>
      <c r="R75" s="22"/>
    </row>
    <row r="76" customFormat="false" ht="15" hidden="false" customHeight="true" outlineLevel="0" collapsed="false">
      <c r="A76" s="19" t="str">
        <f aca="false">IF(D76="","",ROW()-1)</f>
        <v/>
      </c>
      <c r="B76" s="22"/>
      <c r="C76" s="22"/>
      <c r="D76" s="22"/>
      <c r="E76" s="22"/>
      <c r="F76" s="22"/>
      <c r="G76" s="9"/>
      <c r="H76" s="9"/>
      <c r="I76" s="22"/>
      <c r="J76" s="9"/>
      <c r="K76" s="11"/>
      <c r="L76" s="9"/>
      <c r="M76" s="22"/>
      <c r="N76" s="22"/>
      <c r="O76" s="22"/>
      <c r="P76" s="19" t="str">
        <f aca="false">IF(O76="","",IFERROR(INDEX(ライバル調査!$K:$K,MATCH(O76,ライバル調査!$B:$B,0)),"未調査"))</f>
        <v/>
      </c>
      <c r="Q76" s="22"/>
      <c r="R76" s="22"/>
    </row>
    <row r="77" customFormat="false" ht="15" hidden="false" customHeight="true" outlineLevel="0" collapsed="false">
      <c r="A77" s="19" t="str">
        <f aca="false">IF(D77="","",ROW()-1)</f>
        <v/>
      </c>
      <c r="B77" s="22"/>
      <c r="C77" s="22"/>
      <c r="D77" s="22"/>
      <c r="E77" s="22"/>
      <c r="F77" s="22"/>
      <c r="G77" s="9"/>
      <c r="H77" s="9"/>
      <c r="I77" s="22"/>
      <c r="J77" s="9"/>
      <c r="K77" s="11"/>
      <c r="L77" s="9"/>
      <c r="M77" s="22"/>
      <c r="N77" s="22"/>
      <c r="O77" s="22"/>
      <c r="P77" s="19" t="str">
        <f aca="false">IF(O77="","",IFERROR(INDEX(ライバル調査!$K:$K,MATCH(O77,ライバル調査!$B:$B,0)),"未調査"))</f>
        <v/>
      </c>
      <c r="Q77" s="22"/>
      <c r="R77" s="22"/>
    </row>
    <row r="78" customFormat="false" ht="15" hidden="false" customHeight="true" outlineLevel="0" collapsed="false">
      <c r="A78" s="19" t="str">
        <f aca="false">IF(D78="","",ROW()-1)</f>
        <v/>
      </c>
      <c r="B78" s="22"/>
      <c r="C78" s="22"/>
      <c r="D78" s="22"/>
      <c r="E78" s="22"/>
      <c r="F78" s="22"/>
      <c r="G78" s="9"/>
      <c r="H78" s="9"/>
      <c r="I78" s="22"/>
      <c r="J78" s="9"/>
      <c r="K78" s="11"/>
      <c r="L78" s="9"/>
      <c r="M78" s="22"/>
      <c r="N78" s="22"/>
      <c r="O78" s="22"/>
      <c r="P78" s="19" t="str">
        <f aca="false">IF(O78="","",IFERROR(INDEX(ライバル調査!$K:$K,MATCH(O78,ライバル調査!$B:$B,0)),"未調査"))</f>
        <v/>
      </c>
      <c r="Q78" s="22"/>
      <c r="R78" s="22"/>
    </row>
    <row r="79" customFormat="false" ht="15" hidden="false" customHeight="true" outlineLevel="0" collapsed="false">
      <c r="A79" s="19" t="str">
        <f aca="false">IF(D79="","",ROW()-1)</f>
        <v/>
      </c>
      <c r="B79" s="22"/>
      <c r="C79" s="22"/>
      <c r="D79" s="22"/>
      <c r="E79" s="22"/>
      <c r="F79" s="22"/>
      <c r="G79" s="9"/>
      <c r="H79" s="9"/>
      <c r="I79" s="22"/>
      <c r="J79" s="9"/>
      <c r="K79" s="11"/>
      <c r="L79" s="9"/>
      <c r="M79" s="22"/>
      <c r="N79" s="22"/>
      <c r="O79" s="22"/>
      <c r="P79" s="19" t="str">
        <f aca="false">IF(O79="","",IFERROR(INDEX(ライバル調査!$K:$K,MATCH(O79,ライバル調査!$B:$B,0)),"未調査"))</f>
        <v/>
      </c>
      <c r="Q79" s="22"/>
      <c r="R79" s="22"/>
    </row>
    <row r="80" customFormat="false" ht="15" hidden="false" customHeight="true" outlineLevel="0" collapsed="false">
      <c r="A80" s="19" t="str">
        <f aca="false">IF(D80="","",ROW()-1)</f>
        <v/>
      </c>
      <c r="B80" s="22"/>
      <c r="C80" s="22"/>
      <c r="D80" s="22"/>
      <c r="E80" s="22"/>
      <c r="F80" s="22"/>
      <c r="G80" s="9"/>
      <c r="H80" s="9"/>
      <c r="I80" s="22"/>
      <c r="J80" s="9"/>
      <c r="K80" s="11"/>
      <c r="L80" s="9"/>
      <c r="M80" s="22"/>
      <c r="N80" s="22"/>
      <c r="O80" s="22"/>
      <c r="P80" s="19" t="str">
        <f aca="false">IF(O80="","",IFERROR(INDEX(ライバル調査!$K:$K,MATCH(O80,ライバル調査!$B:$B,0)),"未調査"))</f>
        <v/>
      </c>
      <c r="Q80" s="22"/>
      <c r="R80" s="22"/>
    </row>
    <row r="81" customFormat="false" ht="15" hidden="false" customHeight="true" outlineLevel="0" collapsed="false">
      <c r="A81" s="19" t="str">
        <f aca="false">IF(D81="","",ROW()-1)</f>
        <v/>
      </c>
      <c r="B81" s="22"/>
      <c r="C81" s="22"/>
      <c r="D81" s="22"/>
      <c r="E81" s="22"/>
      <c r="F81" s="22"/>
      <c r="G81" s="9"/>
      <c r="H81" s="9"/>
      <c r="I81" s="22"/>
      <c r="J81" s="9"/>
      <c r="K81" s="11"/>
      <c r="L81" s="9"/>
      <c r="M81" s="22"/>
      <c r="N81" s="22"/>
      <c r="O81" s="22"/>
      <c r="P81" s="19" t="str">
        <f aca="false">IF(O81="","",IFERROR(INDEX(ライバル調査!$K:$K,MATCH(O81,ライバル調査!$B:$B,0)),"未調査"))</f>
        <v/>
      </c>
      <c r="Q81" s="22"/>
      <c r="R81" s="22"/>
    </row>
    <row r="82" customFormat="false" ht="15" hidden="false" customHeight="true" outlineLevel="0" collapsed="false">
      <c r="A82" s="19" t="str">
        <f aca="false">IF(D82="","",ROW()-1)</f>
        <v/>
      </c>
      <c r="B82" s="22"/>
      <c r="C82" s="22"/>
      <c r="D82" s="22"/>
      <c r="E82" s="22"/>
      <c r="F82" s="22"/>
      <c r="G82" s="9"/>
      <c r="H82" s="9"/>
      <c r="I82" s="22"/>
      <c r="J82" s="9"/>
      <c r="K82" s="11"/>
      <c r="L82" s="9"/>
      <c r="M82" s="22"/>
      <c r="N82" s="22"/>
      <c r="O82" s="22"/>
      <c r="P82" s="19" t="str">
        <f aca="false">IF(O82="","",IFERROR(INDEX(ライバル調査!$K:$K,MATCH(O82,ライバル調査!$B:$B,0)),"未調査"))</f>
        <v/>
      </c>
      <c r="Q82" s="22"/>
      <c r="R82" s="22"/>
    </row>
    <row r="83" customFormat="false" ht="15" hidden="false" customHeight="true" outlineLevel="0" collapsed="false">
      <c r="A83" s="19" t="str">
        <f aca="false">IF(D83="","",ROW()-1)</f>
        <v/>
      </c>
      <c r="B83" s="22"/>
      <c r="C83" s="22"/>
      <c r="D83" s="22"/>
      <c r="E83" s="22"/>
      <c r="F83" s="22"/>
      <c r="G83" s="9"/>
      <c r="H83" s="9"/>
      <c r="I83" s="22"/>
      <c r="J83" s="9"/>
      <c r="K83" s="11"/>
      <c r="L83" s="9"/>
      <c r="M83" s="22"/>
      <c r="N83" s="22"/>
      <c r="O83" s="22"/>
      <c r="P83" s="19" t="str">
        <f aca="false">IF(O83="","",IFERROR(INDEX(ライバル調査!$K:$K,MATCH(O83,ライバル調査!$B:$B,0)),"未調査"))</f>
        <v/>
      </c>
      <c r="Q83" s="22"/>
      <c r="R83" s="22"/>
    </row>
    <row r="84" customFormat="false" ht="15" hidden="false" customHeight="true" outlineLevel="0" collapsed="false">
      <c r="A84" s="19" t="str">
        <f aca="false">IF(D84="","",ROW()-1)</f>
        <v/>
      </c>
      <c r="B84" s="22"/>
      <c r="C84" s="22"/>
      <c r="D84" s="22"/>
      <c r="E84" s="22"/>
      <c r="F84" s="22"/>
      <c r="G84" s="9"/>
      <c r="H84" s="9"/>
      <c r="I84" s="22"/>
      <c r="J84" s="9"/>
      <c r="K84" s="11"/>
      <c r="L84" s="9"/>
      <c r="M84" s="22"/>
      <c r="N84" s="22"/>
      <c r="O84" s="22"/>
      <c r="P84" s="19" t="str">
        <f aca="false">IF(O84="","",IFERROR(INDEX(ライバル調査!$K:$K,MATCH(O84,ライバル調査!$B:$B,0)),"未調査"))</f>
        <v/>
      </c>
      <c r="Q84" s="22"/>
      <c r="R84" s="22"/>
    </row>
    <row r="85" customFormat="false" ht="15" hidden="false" customHeight="true" outlineLevel="0" collapsed="false">
      <c r="A85" s="19" t="str">
        <f aca="false">IF(D85="","",ROW()-1)</f>
        <v/>
      </c>
      <c r="B85" s="22"/>
      <c r="C85" s="22"/>
      <c r="D85" s="22"/>
      <c r="E85" s="22"/>
      <c r="F85" s="22"/>
      <c r="G85" s="9"/>
      <c r="H85" s="9"/>
      <c r="I85" s="22"/>
      <c r="J85" s="9"/>
      <c r="K85" s="11"/>
      <c r="L85" s="9"/>
      <c r="M85" s="22"/>
      <c r="N85" s="22"/>
      <c r="O85" s="22"/>
      <c r="P85" s="19" t="str">
        <f aca="false">IF(O85="","",IFERROR(INDEX(ライバル調査!$K:$K,MATCH(O85,ライバル調査!$B:$B,0)),"未調査"))</f>
        <v/>
      </c>
      <c r="Q85" s="22"/>
      <c r="R85" s="22"/>
    </row>
    <row r="86" customFormat="false" ht="15" hidden="false" customHeight="true" outlineLevel="0" collapsed="false">
      <c r="A86" s="19" t="str">
        <f aca="false">IF(D86="","",ROW()-1)</f>
        <v/>
      </c>
      <c r="B86" s="22"/>
      <c r="C86" s="22"/>
      <c r="D86" s="22"/>
      <c r="E86" s="22"/>
      <c r="F86" s="22"/>
      <c r="G86" s="9"/>
      <c r="H86" s="9"/>
      <c r="I86" s="22"/>
      <c r="J86" s="9"/>
      <c r="K86" s="11"/>
      <c r="L86" s="9"/>
      <c r="M86" s="22"/>
      <c r="N86" s="22"/>
      <c r="O86" s="22"/>
      <c r="P86" s="19" t="str">
        <f aca="false">IF(O86="","",IFERROR(INDEX(ライバル調査!$K:$K,MATCH(O86,ライバル調査!$B:$B,0)),"未調査"))</f>
        <v/>
      </c>
      <c r="Q86" s="22"/>
      <c r="R86" s="22"/>
    </row>
    <row r="87" customFormat="false" ht="15" hidden="false" customHeight="true" outlineLevel="0" collapsed="false">
      <c r="A87" s="19" t="str">
        <f aca="false">IF(D87="","",ROW()-1)</f>
        <v/>
      </c>
      <c r="B87" s="22"/>
      <c r="C87" s="22"/>
      <c r="D87" s="22"/>
      <c r="E87" s="22"/>
      <c r="F87" s="22"/>
      <c r="G87" s="9"/>
      <c r="H87" s="9"/>
      <c r="I87" s="22"/>
      <c r="J87" s="9"/>
      <c r="K87" s="11"/>
      <c r="L87" s="9"/>
      <c r="M87" s="22"/>
      <c r="N87" s="22"/>
      <c r="O87" s="22"/>
      <c r="P87" s="19" t="str">
        <f aca="false">IF(O87="","",IFERROR(INDEX(ライバル調査!$K:$K,MATCH(O87,ライバル調査!$B:$B,0)),"未調査"))</f>
        <v/>
      </c>
      <c r="Q87" s="22"/>
      <c r="R87" s="22"/>
    </row>
    <row r="88" customFormat="false" ht="15" hidden="false" customHeight="true" outlineLevel="0" collapsed="false">
      <c r="A88" s="19" t="str">
        <f aca="false">IF(D88="","",ROW()-1)</f>
        <v/>
      </c>
      <c r="B88" s="22"/>
      <c r="C88" s="22"/>
      <c r="D88" s="22"/>
      <c r="E88" s="22"/>
      <c r="F88" s="22"/>
      <c r="G88" s="9"/>
      <c r="H88" s="9"/>
      <c r="I88" s="22"/>
      <c r="J88" s="9"/>
      <c r="K88" s="11"/>
      <c r="L88" s="9"/>
      <c r="M88" s="22"/>
      <c r="N88" s="22"/>
      <c r="O88" s="22"/>
      <c r="P88" s="19" t="str">
        <f aca="false">IF(O88="","",IFERROR(INDEX(ライバル調査!$K:$K,MATCH(O88,ライバル調査!$B:$B,0)),"未調査"))</f>
        <v/>
      </c>
      <c r="Q88" s="22"/>
      <c r="R88" s="22"/>
    </row>
    <row r="89" customFormat="false" ht="15" hidden="false" customHeight="true" outlineLevel="0" collapsed="false">
      <c r="A89" s="19" t="str">
        <f aca="false">IF(D89="","",ROW()-1)</f>
        <v/>
      </c>
      <c r="B89" s="22"/>
      <c r="C89" s="22"/>
      <c r="D89" s="22"/>
      <c r="E89" s="22"/>
      <c r="F89" s="22"/>
      <c r="G89" s="9"/>
      <c r="H89" s="9"/>
      <c r="I89" s="22"/>
      <c r="J89" s="9"/>
      <c r="K89" s="11"/>
      <c r="L89" s="9"/>
      <c r="M89" s="22"/>
      <c r="N89" s="22"/>
      <c r="O89" s="22"/>
      <c r="P89" s="19" t="str">
        <f aca="false">IF(O89="","",IFERROR(INDEX(ライバル調査!$K:$K,MATCH(O89,ライバル調査!$B:$B,0)),"未調査"))</f>
        <v/>
      </c>
      <c r="Q89" s="22"/>
      <c r="R89" s="22"/>
    </row>
    <row r="90" customFormat="false" ht="15" hidden="false" customHeight="true" outlineLevel="0" collapsed="false">
      <c r="A90" s="19" t="str">
        <f aca="false">IF(D90="","",ROW()-1)</f>
        <v/>
      </c>
      <c r="B90" s="22"/>
      <c r="C90" s="22"/>
      <c r="D90" s="22"/>
      <c r="E90" s="22"/>
      <c r="F90" s="22"/>
      <c r="G90" s="9"/>
      <c r="H90" s="9"/>
      <c r="I90" s="22"/>
      <c r="J90" s="9"/>
      <c r="K90" s="11"/>
      <c r="L90" s="9"/>
      <c r="M90" s="22"/>
      <c r="N90" s="22"/>
      <c r="O90" s="22"/>
      <c r="P90" s="19" t="str">
        <f aca="false">IF(O90="","",IFERROR(INDEX(ライバル調査!$K:$K,MATCH(O90,ライバル調査!$B:$B,0)),"未調査"))</f>
        <v/>
      </c>
      <c r="Q90" s="22"/>
      <c r="R90" s="22"/>
    </row>
    <row r="91" customFormat="false" ht="15" hidden="false" customHeight="true" outlineLevel="0" collapsed="false">
      <c r="A91" s="19" t="str">
        <f aca="false">IF(D91="","",ROW()-1)</f>
        <v/>
      </c>
      <c r="B91" s="22"/>
      <c r="C91" s="22"/>
      <c r="D91" s="22"/>
      <c r="E91" s="22"/>
      <c r="F91" s="22"/>
      <c r="G91" s="9"/>
      <c r="H91" s="9"/>
      <c r="I91" s="22"/>
      <c r="J91" s="9"/>
      <c r="K91" s="11"/>
      <c r="L91" s="9"/>
      <c r="M91" s="22"/>
      <c r="N91" s="22"/>
      <c r="O91" s="22"/>
      <c r="P91" s="19" t="str">
        <f aca="false">IF(O91="","",IFERROR(INDEX(ライバル調査!$K:$K,MATCH(O91,ライバル調査!$B:$B,0)),"未調査"))</f>
        <v/>
      </c>
      <c r="Q91" s="22"/>
      <c r="R91" s="22"/>
    </row>
    <row r="92" customFormat="false" ht="15" hidden="false" customHeight="true" outlineLevel="0" collapsed="false">
      <c r="A92" s="19" t="str">
        <f aca="false">IF(D92="","",ROW()-1)</f>
        <v/>
      </c>
      <c r="B92" s="22"/>
      <c r="C92" s="22"/>
      <c r="D92" s="22"/>
      <c r="E92" s="22"/>
      <c r="F92" s="22"/>
      <c r="G92" s="9"/>
      <c r="H92" s="9"/>
      <c r="I92" s="22"/>
      <c r="J92" s="9"/>
      <c r="K92" s="11"/>
      <c r="L92" s="9"/>
      <c r="M92" s="22"/>
      <c r="N92" s="22"/>
      <c r="O92" s="22"/>
      <c r="P92" s="19" t="str">
        <f aca="false">IF(O92="","",IFERROR(INDEX(ライバル調査!$K:$K,MATCH(O92,ライバル調査!$B:$B,0)),"未調査"))</f>
        <v/>
      </c>
      <c r="Q92" s="22"/>
      <c r="R92" s="22"/>
    </row>
    <row r="93" customFormat="false" ht="15" hidden="false" customHeight="true" outlineLevel="0" collapsed="false">
      <c r="A93" s="19" t="str">
        <f aca="false">IF(D93="","",ROW()-1)</f>
        <v/>
      </c>
      <c r="B93" s="22"/>
      <c r="C93" s="22"/>
      <c r="D93" s="22"/>
      <c r="E93" s="22"/>
      <c r="F93" s="22"/>
      <c r="G93" s="9"/>
      <c r="H93" s="9"/>
      <c r="I93" s="22"/>
      <c r="J93" s="9"/>
      <c r="K93" s="11"/>
      <c r="L93" s="9"/>
      <c r="M93" s="22"/>
      <c r="N93" s="22"/>
      <c r="O93" s="22"/>
      <c r="P93" s="19" t="str">
        <f aca="false">IF(O93="","",IFERROR(INDEX(ライバル調査!$K:$K,MATCH(O93,ライバル調査!$B:$B,0)),"未調査"))</f>
        <v/>
      </c>
      <c r="Q93" s="22"/>
      <c r="R93" s="22"/>
    </row>
    <row r="94" customFormat="false" ht="15" hidden="false" customHeight="true" outlineLevel="0" collapsed="false">
      <c r="A94" s="19" t="str">
        <f aca="false">IF(D94="","",ROW()-1)</f>
        <v/>
      </c>
      <c r="B94" s="22"/>
      <c r="C94" s="22"/>
      <c r="D94" s="22"/>
      <c r="E94" s="22"/>
      <c r="F94" s="22"/>
      <c r="G94" s="9"/>
      <c r="H94" s="9"/>
      <c r="I94" s="22"/>
      <c r="J94" s="9"/>
      <c r="K94" s="11"/>
      <c r="L94" s="9"/>
      <c r="M94" s="22"/>
      <c r="N94" s="22"/>
      <c r="O94" s="22"/>
      <c r="P94" s="19" t="str">
        <f aca="false">IF(O94="","",IFERROR(INDEX(ライバル調査!$K:$K,MATCH(O94,ライバル調査!$B:$B,0)),"未調査"))</f>
        <v/>
      </c>
      <c r="Q94" s="22"/>
      <c r="R94" s="22"/>
    </row>
    <row r="95" customFormat="false" ht="15" hidden="false" customHeight="true" outlineLevel="0" collapsed="false">
      <c r="A95" s="19" t="str">
        <f aca="false">IF(D95="","",ROW()-1)</f>
        <v/>
      </c>
      <c r="B95" s="22"/>
      <c r="C95" s="22"/>
      <c r="D95" s="22"/>
      <c r="E95" s="22"/>
      <c r="F95" s="22"/>
      <c r="G95" s="9"/>
      <c r="H95" s="9"/>
      <c r="I95" s="22"/>
      <c r="J95" s="9"/>
      <c r="K95" s="11"/>
      <c r="L95" s="9"/>
      <c r="M95" s="22"/>
      <c r="N95" s="22"/>
      <c r="O95" s="22"/>
      <c r="P95" s="19" t="str">
        <f aca="false">IF(O95="","",IFERROR(INDEX(ライバル調査!$K:$K,MATCH(O95,ライバル調査!$B:$B,0)),"未調査"))</f>
        <v/>
      </c>
      <c r="Q95" s="22"/>
      <c r="R95" s="22"/>
    </row>
    <row r="96" customFormat="false" ht="15" hidden="false" customHeight="true" outlineLevel="0" collapsed="false">
      <c r="A96" s="19" t="str">
        <f aca="false">IF(D96="","",ROW()-1)</f>
        <v/>
      </c>
      <c r="B96" s="22"/>
      <c r="C96" s="22"/>
      <c r="D96" s="22"/>
      <c r="E96" s="22"/>
      <c r="F96" s="22"/>
      <c r="G96" s="9"/>
      <c r="H96" s="9"/>
      <c r="I96" s="22"/>
      <c r="J96" s="9"/>
      <c r="K96" s="11"/>
      <c r="L96" s="9"/>
      <c r="M96" s="22"/>
      <c r="N96" s="22"/>
      <c r="O96" s="22"/>
      <c r="P96" s="19" t="str">
        <f aca="false">IF(O96="","",IFERROR(INDEX(ライバル調査!$K:$K,MATCH(O96,ライバル調査!$B:$B,0)),"未調査"))</f>
        <v/>
      </c>
      <c r="Q96" s="22"/>
      <c r="R96" s="22"/>
    </row>
    <row r="97" customFormat="false" ht="15" hidden="false" customHeight="true" outlineLevel="0" collapsed="false">
      <c r="A97" s="19" t="str">
        <f aca="false">IF(D97="","",ROW()-1)</f>
        <v/>
      </c>
      <c r="B97" s="22"/>
      <c r="C97" s="22"/>
      <c r="D97" s="22"/>
      <c r="E97" s="22"/>
      <c r="F97" s="22"/>
      <c r="G97" s="9"/>
      <c r="H97" s="9"/>
      <c r="I97" s="22"/>
      <c r="J97" s="9"/>
      <c r="K97" s="11"/>
      <c r="L97" s="9"/>
      <c r="M97" s="22"/>
      <c r="N97" s="22"/>
      <c r="O97" s="22"/>
      <c r="P97" s="19" t="str">
        <f aca="false">IF(O97="","",IFERROR(INDEX(ライバル調査!$K:$K,MATCH(O97,ライバル調査!$B:$B,0)),"未調査"))</f>
        <v/>
      </c>
      <c r="Q97" s="22"/>
      <c r="R97" s="22"/>
    </row>
    <row r="98" customFormat="false" ht="15" hidden="false" customHeight="true" outlineLevel="0" collapsed="false">
      <c r="A98" s="19" t="str">
        <f aca="false">IF(D98="","",ROW()-1)</f>
        <v/>
      </c>
      <c r="B98" s="22"/>
      <c r="C98" s="22"/>
      <c r="D98" s="22"/>
      <c r="E98" s="22"/>
      <c r="F98" s="22"/>
      <c r="G98" s="9"/>
      <c r="H98" s="9"/>
      <c r="I98" s="22"/>
      <c r="J98" s="9"/>
      <c r="K98" s="11"/>
      <c r="L98" s="9"/>
      <c r="M98" s="22"/>
      <c r="N98" s="22"/>
      <c r="O98" s="22"/>
      <c r="P98" s="19" t="str">
        <f aca="false">IF(O98="","",IFERROR(INDEX(ライバル調査!$K:$K,MATCH(O98,ライバル調査!$B:$B,0)),"未調査"))</f>
        <v/>
      </c>
      <c r="Q98" s="22"/>
      <c r="R98" s="22"/>
    </row>
    <row r="99" customFormat="false" ht="15" hidden="false" customHeight="true" outlineLevel="0" collapsed="false">
      <c r="A99" s="19" t="str">
        <f aca="false">IF(D99="","",ROW()-1)</f>
        <v/>
      </c>
      <c r="B99" s="22"/>
      <c r="C99" s="22"/>
      <c r="D99" s="22"/>
      <c r="E99" s="22"/>
      <c r="F99" s="22"/>
      <c r="G99" s="9"/>
      <c r="H99" s="9"/>
      <c r="I99" s="22"/>
      <c r="J99" s="9"/>
      <c r="K99" s="11"/>
      <c r="L99" s="9"/>
      <c r="M99" s="22"/>
      <c r="N99" s="22"/>
      <c r="O99" s="22"/>
      <c r="P99" s="19" t="str">
        <f aca="false">IF(O99="","",IFERROR(INDEX(ライバル調査!$K:$K,MATCH(O99,ライバル調査!$B:$B,0)),"未調査"))</f>
        <v/>
      </c>
      <c r="Q99" s="22"/>
      <c r="R99" s="22"/>
    </row>
    <row r="100" customFormat="false" ht="15" hidden="false" customHeight="true" outlineLevel="0" collapsed="false">
      <c r="A100" s="19" t="str">
        <f aca="false">IF(D100="","",ROW()-1)</f>
        <v/>
      </c>
      <c r="B100" s="22"/>
      <c r="C100" s="22"/>
      <c r="D100" s="22"/>
      <c r="E100" s="22"/>
      <c r="F100" s="22"/>
      <c r="G100" s="9"/>
      <c r="H100" s="9"/>
      <c r="I100" s="22"/>
      <c r="J100" s="9"/>
      <c r="K100" s="11"/>
      <c r="L100" s="9"/>
      <c r="M100" s="22"/>
      <c r="N100" s="22"/>
      <c r="O100" s="22"/>
      <c r="P100" s="19" t="str">
        <f aca="false">IF(O100="","",IFERROR(INDEX(ライバル調査!$K:$K,MATCH(O100,ライバル調査!$B:$B,0)),"未調査"))</f>
        <v/>
      </c>
      <c r="Q100" s="22"/>
      <c r="R100" s="22"/>
    </row>
    <row r="101" customFormat="false" ht="15" hidden="false" customHeight="true" outlineLevel="0" collapsed="false">
      <c r="A101" s="19" t="str">
        <f aca="false">IF(D101="","",ROW()-1)</f>
        <v/>
      </c>
      <c r="B101" s="22"/>
      <c r="C101" s="22"/>
      <c r="D101" s="22"/>
      <c r="E101" s="22"/>
      <c r="F101" s="22"/>
      <c r="G101" s="9"/>
      <c r="H101" s="9"/>
      <c r="I101" s="22"/>
      <c r="J101" s="9"/>
      <c r="K101" s="11"/>
      <c r="L101" s="9"/>
      <c r="M101" s="22"/>
      <c r="N101" s="22"/>
      <c r="O101" s="22"/>
      <c r="P101" s="19" t="str">
        <f aca="false">IF(O101="","",IFERROR(INDEX(ライバル調査!$K:$K,MATCH(O101,ライバル調査!$B:$B,0)),"未調査"))</f>
        <v/>
      </c>
      <c r="Q101" s="22"/>
      <c r="R101" s="22"/>
    </row>
    <row r="102" customFormat="false" ht="15" hidden="false" customHeight="true" outlineLevel="0" collapsed="false">
      <c r="A102" s="19" t="str">
        <f aca="false">IF(D102="","",ROW()-1)</f>
        <v/>
      </c>
      <c r="B102" s="22"/>
      <c r="C102" s="22"/>
      <c r="D102" s="22"/>
      <c r="E102" s="22"/>
      <c r="F102" s="22"/>
      <c r="G102" s="9"/>
      <c r="H102" s="9"/>
      <c r="I102" s="22"/>
      <c r="J102" s="9"/>
      <c r="K102" s="11"/>
      <c r="L102" s="9"/>
      <c r="M102" s="22"/>
      <c r="N102" s="22"/>
      <c r="O102" s="22"/>
      <c r="P102" s="19" t="str">
        <f aca="false">IF(O102="","",IFERROR(INDEX(ライバル調査!$K:$K,MATCH(O102,ライバル調査!$B:$B,0)),"未調査"))</f>
        <v/>
      </c>
      <c r="Q102" s="22"/>
      <c r="R102" s="22"/>
    </row>
    <row r="103" customFormat="false" ht="15" hidden="false" customHeight="true" outlineLevel="0" collapsed="false">
      <c r="A103" s="19" t="str">
        <f aca="false">IF(D103="","",ROW()-1)</f>
        <v/>
      </c>
      <c r="B103" s="22"/>
      <c r="C103" s="22"/>
      <c r="D103" s="22"/>
      <c r="E103" s="22"/>
      <c r="F103" s="22"/>
      <c r="G103" s="9"/>
      <c r="H103" s="9"/>
      <c r="I103" s="22"/>
      <c r="J103" s="9"/>
      <c r="K103" s="11"/>
      <c r="L103" s="9"/>
      <c r="M103" s="22"/>
      <c r="N103" s="22"/>
      <c r="O103" s="22"/>
      <c r="P103" s="19" t="str">
        <f aca="false">IF(O103="","",IFERROR(INDEX(ライバル調査!$K:$K,MATCH(O103,ライバル調査!$B:$B,0)),"未調査"))</f>
        <v/>
      </c>
      <c r="Q103" s="22"/>
      <c r="R103" s="22"/>
    </row>
    <row r="104" customFormat="false" ht="15" hidden="false" customHeight="true" outlineLevel="0" collapsed="false">
      <c r="A104" s="19" t="str">
        <f aca="false">IF(D104="","",ROW()-1)</f>
        <v/>
      </c>
      <c r="B104" s="22"/>
      <c r="C104" s="22"/>
      <c r="D104" s="22"/>
      <c r="E104" s="22"/>
      <c r="F104" s="22"/>
      <c r="G104" s="9"/>
      <c r="H104" s="9"/>
      <c r="I104" s="22"/>
      <c r="J104" s="9"/>
      <c r="K104" s="11"/>
      <c r="L104" s="9"/>
      <c r="M104" s="22"/>
      <c r="N104" s="22"/>
      <c r="O104" s="22"/>
      <c r="P104" s="19" t="str">
        <f aca="false">IF(O104="","",IFERROR(INDEX(ライバル調査!$K:$K,MATCH(O104,ライバル調査!$B:$B,0)),"未調査"))</f>
        <v/>
      </c>
      <c r="Q104" s="22"/>
      <c r="R104" s="22"/>
    </row>
    <row r="105" customFormat="false" ht="15" hidden="false" customHeight="true" outlineLevel="0" collapsed="false">
      <c r="A105" s="19" t="str">
        <f aca="false">IF(D105="","",ROW()-1)</f>
        <v/>
      </c>
      <c r="B105" s="22"/>
      <c r="C105" s="22"/>
      <c r="D105" s="22"/>
      <c r="E105" s="22"/>
      <c r="F105" s="22"/>
      <c r="G105" s="9"/>
      <c r="H105" s="9"/>
      <c r="I105" s="22"/>
      <c r="J105" s="9"/>
      <c r="K105" s="11"/>
      <c r="L105" s="9"/>
      <c r="M105" s="22"/>
      <c r="N105" s="22"/>
      <c r="O105" s="22"/>
      <c r="P105" s="19" t="str">
        <f aca="false">IF(O105="","",IFERROR(INDEX(ライバル調査!$K:$K,MATCH(O105,ライバル調査!$B:$B,0)),"未調査"))</f>
        <v/>
      </c>
      <c r="Q105" s="22"/>
      <c r="R105" s="22"/>
    </row>
    <row r="106" customFormat="false" ht="15" hidden="false" customHeight="true" outlineLevel="0" collapsed="false">
      <c r="A106" s="19" t="str">
        <f aca="false">IF(D106="","",ROW()-1)</f>
        <v/>
      </c>
      <c r="B106" s="22"/>
      <c r="C106" s="22"/>
      <c r="D106" s="22"/>
      <c r="E106" s="22"/>
      <c r="F106" s="22"/>
      <c r="G106" s="9"/>
      <c r="H106" s="9"/>
      <c r="I106" s="22"/>
      <c r="J106" s="9"/>
      <c r="K106" s="11"/>
      <c r="L106" s="9"/>
      <c r="M106" s="22"/>
      <c r="N106" s="22"/>
      <c r="O106" s="22"/>
      <c r="P106" s="19" t="str">
        <f aca="false">IF(O106="","",IFERROR(INDEX(ライバル調査!$K:$K,MATCH(O106,ライバル調査!$B:$B,0)),"未調査"))</f>
        <v/>
      </c>
      <c r="Q106" s="22"/>
      <c r="R106" s="22"/>
    </row>
    <row r="107" customFormat="false" ht="15" hidden="false" customHeight="true" outlineLevel="0" collapsed="false">
      <c r="A107" s="19" t="str">
        <f aca="false">IF(D107="","",ROW()-1)</f>
        <v/>
      </c>
      <c r="B107" s="22"/>
      <c r="C107" s="22"/>
      <c r="D107" s="22"/>
      <c r="E107" s="22"/>
      <c r="F107" s="22"/>
      <c r="G107" s="9"/>
      <c r="H107" s="9"/>
      <c r="I107" s="22"/>
      <c r="J107" s="9"/>
      <c r="K107" s="11"/>
      <c r="L107" s="9"/>
      <c r="M107" s="22"/>
      <c r="N107" s="22"/>
      <c r="O107" s="22"/>
      <c r="P107" s="19" t="str">
        <f aca="false">IF(O107="","",IFERROR(INDEX(ライバル調査!$K:$K,MATCH(O107,ライバル調査!$B:$B,0)),"未調査"))</f>
        <v/>
      </c>
      <c r="Q107" s="22"/>
      <c r="R107" s="22"/>
    </row>
    <row r="108" customFormat="false" ht="15" hidden="false" customHeight="true" outlineLevel="0" collapsed="false">
      <c r="A108" s="19" t="str">
        <f aca="false">IF(D108="","",ROW()-1)</f>
        <v/>
      </c>
      <c r="B108" s="22"/>
      <c r="C108" s="22"/>
      <c r="D108" s="22"/>
      <c r="E108" s="22"/>
      <c r="F108" s="22"/>
      <c r="G108" s="9"/>
      <c r="H108" s="9"/>
      <c r="I108" s="22"/>
      <c r="J108" s="9"/>
      <c r="K108" s="11"/>
      <c r="L108" s="9"/>
      <c r="M108" s="22"/>
      <c r="N108" s="22"/>
      <c r="O108" s="22"/>
      <c r="P108" s="19" t="str">
        <f aca="false">IF(O108="","",IFERROR(INDEX(ライバル調査!$K:$K,MATCH(O108,ライバル調査!$B:$B,0)),"未調査"))</f>
        <v/>
      </c>
      <c r="Q108" s="22"/>
      <c r="R108" s="22"/>
    </row>
    <row r="109" customFormat="false" ht="15" hidden="false" customHeight="true" outlineLevel="0" collapsed="false">
      <c r="A109" s="19" t="str">
        <f aca="false">IF(D109="","",ROW()-1)</f>
        <v/>
      </c>
      <c r="B109" s="22"/>
      <c r="C109" s="22"/>
      <c r="D109" s="22"/>
      <c r="E109" s="22"/>
      <c r="F109" s="22"/>
      <c r="G109" s="9"/>
      <c r="H109" s="9"/>
      <c r="I109" s="22"/>
      <c r="J109" s="9"/>
      <c r="K109" s="11"/>
      <c r="L109" s="9"/>
      <c r="M109" s="22"/>
      <c r="N109" s="22"/>
      <c r="O109" s="22"/>
      <c r="P109" s="19" t="str">
        <f aca="false">IF(O109="","",IFERROR(INDEX(ライバル調査!$K:$K,MATCH(O109,ライバル調査!$B:$B,0)),"未調査"))</f>
        <v/>
      </c>
      <c r="Q109" s="22"/>
      <c r="R109" s="22"/>
    </row>
    <row r="110" customFormat="false" ht="15" hidden="false" customHeight="true" outlineLevel="0" collapsed="false">
      <c r="A110" s="19" t="str">
        <f aca="false">IF(D110="","",ROW()-1)</f>
        <v/>
      </c>
      <c r="B110" s="22"/>
      <c r="C110" s="22"/>
      <c r="D110" s="22"/>
      <c r="E110" s="22"/>
      <c r="F110" s="22"/>
      <c r="G110" s="9"/>
      <c r="H110" s="9"/>
      <c r="I110" s="22"/>
      <c r="J110" s="9"/>
      <c r="K110" s="11"/>
      <c r="L110" s="9"/>
      <c r="M110" s="22"/>
      <c r="N110" s="22"/>
      <c r="O110" s="22"/>
      <c r="P110" s="19" t="str">
        <f aca="false">IF(O110="","",IFERROR(INDEX(ライバル調査!$K:$K,MATCH(O110,ライバル調査!$B:$B,0)),"未調査"))</f>
        <v/>
      </c>
      <c r="Q110" s="22"/>
      <c r="R110" s="22"/>
    </row>
    <row r="111" customFormat="false" ht="15" hidden="false" customHeight="true" outlineLevel="0" collapsed="false">
      <c r="A111" s="19" t="str">
        <f aca="false">IF(D111="","",ROW()-1)</f>
        <v/>
      </c>
      <c r="B111" s="22"/>
      <c r="C111" s="22"/>
      <c r="D111" s="22"/>
      <c r="E111" s="22"/>
      <c r="F111" s="22"/>
      <c r="G111" s="9"/>
      <c r="H111" s="9"/>
      <c r="I111" s="22"/>
      <c r="J111" s="9"/>
      <c r="K111" s="11"/>
      <c r="L111" s="9"/>
      <c r="M111" s="22"/>
      <c r="N111" s="22"/>
      <c r="O111" s="22"/>
      <c r="P111" s="19" t="str">
        <f aca="false">IF(O111="","",IFERROR(INDEX(ライバル調査!$K:$K,MATCH(O111,ライバル調査!$B:$B,0)),"未調査"))</f>
        <v/>
      </c>
      <c r="Q111" s="22"/>
      <c r="R111" s="22"/>
    </row>
    <row r="112" customFormat="false" ht="15" hidden="false" customHeight="true" outlineLevel="0" collapsed="false">
      <c r="A112" s="19" t="str">
        <f aca="false">IF(D112="","",ROW()-1)</f>
        <v/>
      </c>
      <c r="B112" s="22"/>
      <c r="C112" s="22"/>
      <c r="D112" s="22"/>
      <c r="E112" s="22"/>
      <c r="F112" s="22"/>
      <c r="G112" s="9"/>
      <c r="H112" s="9"/>
      <c r="I112" s="22"/>
      <c r="J112" s="9"/>
      <c r="K112" s="11"/>
      <c r="L112" s="9"/>
      <c r="M112" s="22"/>
      <c r="N112" s="22"/>
      <c r="O112" s="22"/>
      <c r="P112" s="19" t="str">
        <f aca="false">IF(O112="","",IFERROR(INDEX(ライバル調査!$K:$K,MATCH(O112,ライバル調査!$B:$B,0)),"未調査"))</f>
        <v/>
      </c>
      <c r="Q112" s="22"/>
      <c r="R112" s="22"/>
    </row>
    <row r="113" customFormat="false" ht="15" hidden="false" customHeight="true" outlineLevel="0" collapsed="false">
      <c r="A113" s="19" t="str">
        <f aca="false">IF(D113="","",ROW()-1)</f>
        <v/>
      </c>
      <c r="B113" s="22"/>
      <c r="C113" s="22"/>
      <c r="D113" s="22"/>
      <c r="E113" s="22"/>
      <c r="F113" s="22"/>
      <c r="G113" s="9"/>
      <c r="H113" s="9"/>
      <c r="I113" s="22"/>
      <c r="J113" s="9"/>
      <c r="K113" s="11"/>
      <c r="L113" s="9"/>
      <c r="M113" s="22"/>
      <c r="N113" s="22"/>
      <c r="O113" s="22"/>
      <c r="P113" s="19" t="str">
        <f aca="false">IF(O113="","",IFERROR(INDEX(ライバル調査!$K:$K,MATCH(O113,ライバル調査!$B:$B,0)),"未調査"))</f>
        <v/>
      </c>
      <c r="Q113" s="22"/>
      <c r="R113" s="22"/>
    </row>
    <row r="114" customFormat="false" ht="15" hidden="false" customHeight="true" outlineLevel="0" collapsed="false">
      <c r="A114" s="19" t="str">
        <f aca="false">IF(D114="","",ROW()-1)</f>
        <v/>
      </c>
      <c r="B114" s="22"/>
      <c r="C114" s="22"/>
      <c r="D114" s="22"/>
      <c r="E114" s="22"/>
      <c r="F114" s="22"/>
      <c r="G114" s="9"/>
      <c r="H114" s="9"/>
      <c r="I114" s="22"/>
      <c r="J114" s="9"/>
      <c r="K114" s="11"/>
      <c r="L114" s="9"/>
      <c r="M114" s="22"/>
      <c r="N114" s="22"/>
      <c r="O114" s="22"/>
      <c r="P114" s="19" t="str">
        <f aca="false">IF(O114="","",IFERROR(INDEX(ライバル調査!$K:$K,MATCH(O114,ライバル調査!$B:$B,0)),"未調査"))</f>
        <v/>
      </c>
      <c r="Q114" s="22"/>
      <c r="R114" s="22"/>
    </row>
    <row r="115" customFormat="false" ht="15" hidden="false" customHeight="true" outlineLevel="0" collapsed="false">
      <c r="A115" s="19" t="str">
        <f aca="false">IF(D115="","",ROW()-1)</f>
        <v/>
      </c>
      <c r="B115" s="22"/>
      <c r="C115" s="22"/>
      <c r="D115" s="22"/>
      <c r="E115" s="22"/>
      <c r="F115" s="22"/>
      <c r="G115" s="9"/>
      <c r="H115" s="9"/>
      <c r="I115" s="22"/>
      <c r="J115" s="9"/>
      <c r="K115" s="11"/>
      <c r="L115" s="9"/>
      <c r="M115" s="22"/>
      <c r="N115" s="22"/>
      <c r="O115" s="22"/>
      <c r="P115" s="19" t="str">
        <f aca="false">IF(O115="","",IFERROR(INDEX(ライバル調査!$K:$K,MATCH(O115,ライバル調査!$B:$B,0)),"未調査"))</f>
        <v/>
      </c>
      <c r="Q115" s="22"/>
      <c r="R115" s="22"/>
    </row>
    <row r="116" customFormat="false" ht="15" hidden="false" customHeight="true" outlineLevel="0" collapsed="false">
      <c r="A116" s="19" t="str">
        <f aca="false">IF(D116="","",ROW()-1)</f>
        <v/>
      </c>
      <c r="B116" s="22"/>
      <c r="C116" s="22"/>
      <c r="D116" s="22"/>
      <c r="E116" s="22"/>
      <c r="F116" s="22"/>
      <c r="G116" s="9"/>
      <c r="H116" s="9"/>
      <c r="I116" s="22"/>
      <c r="J116" s="9"/>
      <c r="K116" s="11"/>
      <c r="L116" s="9"/>
      <c r="M116" s="22"/>
      <c r="N116" s="22"/>
      <c r="O116" s="22"/>
      <c r="P116" s="19" t="str">
        <f aca="false">IF(O116="","",IFERROR(INDEX(ライバル調査!$K:$K,MATCH(O116,ライバル調査!$B:$B,0)),"未調査"))</f>
        <v/>
      </c>
      <c r="Q116" s="22"/>
      <c r="R116" s="22"/>
    </row>
    <row r="117" customFormat="false" ht="15" hidden="false" customHeight="true" outlineLevel="0" collapsed="false">
      <c r="A117" s="19" t="str">
        <f aca="false">IF(D117="","",ROW()-1)</f>
        <v/>
      </c>
      <c r="B117" s="22"/>
      <c r="C117" s="22"/>
      <c r="D117" s="22"/>
      <c r="E117" s="22"/>
      <c r="F117" s="22"/>
      <c r="G117" s="9"/>
      <c r="H117" s="9"/>
      <c r="I117" s="22"/>
      <c r="J117" s="9"/>
      <c r="K117" s="11"/>
      <c r="L117" s="9"/>
      <c r="M117" s="22"/>
      <c r="N117" s="22"/>
      <c r="O117" s="22"/>
      <c r="P117" s="19" t="str">
        <f aca="false">IF(O117="","",IFERROR(INDEX(ライバル調査!$K:$K,MATCH(O117,ライバル調査!$B:$B,0)),"未調査"))</f>
        <v/>
      </c>
      <c r="Q117" s="22"/>
      <c r="R117" s="22"/>
    </row>
    <row r="118" customFormat="false" ht="15" hidden="false" customHeight="true" outlineLevel="0" collapsed="false">
      <c r="A118" s="19" t="str">
        <f aca="false">IF(D118="","",ROW()-1)</f>
        <v/>
      </c>
      <c r="B118" s="22"/>
      <c r="C118" s="22"/>
      <c r="D118" s="22"/>
      <c r="E118" s="22"/>
      <c r="F118" s="22"/>
      <c r="G118" s="9"/>
      <c r="H118" s="9"/>
      <c r="I118" s="22"/>
      <c r="J118" s="9"/>
      <c r="K118" s="11"/>
      <c r="L118" s="9"/>
      <c r="M118" s="22"/>
      <c r="N118" s="22"/>
      <c r="O118" s="22"/>
      <c r="P118" s="19" t="str">
        <f aca="false">IF(O118="","",IFERROR(INDEX(ライバル調査!$K:$K,MATCH(O118,ライバル調査!$B:$B,0)),"未調査"))</f>
        <v/>
      </c>
      <c r="Q118" s="22"/>
      <c r="R118" s="22"/>
    </row>
    <row r="119" customFormat="false" ht="15" hidden="false" customHeight="true" outlineLevel="0" collapsed="false">
      <c r="A119" s="19" t="str">
        <f aca="false">IF(D119="","",ROW()-1)</f>
        <v/>
      </c>
      <c r="B119" s="22"/>
      <c r="C119" s="22"/>
      <c r="D119" s="22"/>
      <c r="E119" s="22"/>
      <c r="F119" s="22"/>
      <c r="G119" s="9"/>
      <c r="H119" s="9"/>
      <c r="I119" s="22"/>
      <c r="J119" s="9"/>
      <c r="K119" s="11"/>
      <c r="L119" s="9"/>
      <c r="M119" s="22"/>
      <c r="N119" s="22"/>
      <c r="O119" s="22"/>
      <c r="P119" s="19" t="str">
        <f aca="false">IF(O119="","",IFERROR(INDEX(ライバル調査!$K:$K,MATCH(O119,ライバル調査!$B:$B,0)),"未調査"))</f>
        <v/>
      </c>
      <c r="Q119" s="22"/>
      <c r="R119" s="22"/>
    </row>
    <row r="120" customFormat="false" ht="15" hidden="false" customHeight="true" outlineLevel="0" collapsed="false">
      <c r="A120" s="19" t="str">
        <f aca="false">IF(D120="","",ROW()-1)</f>
        <v/>
      </c>
      <c r="B120" s="22"/>
      <c r="C120" s="22"/>
      <c r="D120" s="22"/>
      <c r="E120" s="22"/>
      <c r="F120" s="22"/>
      <c r="G120" s="9"/>
      <c r="H120" s="9"/>
      <c r="I120" s="22"/>
      <c r="J120" s="9"/>
      <c r="K120" s="11"/>
      <c r="L120" s="9"/>
      <c r="M120" s="22"/>
      <c r="N120" s="22"/>
      <c r="O120" s="22"/>
      <c r="P120" s="19" t="str">
        <f aca="false">IF(O120="","",IFERROR(INDEX(ライバル調査!$K:$K,MATCH(O120,ライバル調査!$B:$B,0)),"未調査"))</f>
        <v/>
      </c>
      <c r="Q120" s="22"/>
      <c r="R120" s="22"/>
    </row>
    <row r="121" customFormat="false" ht="15" hidden="false" customHeight="true" outlineLevel="0" collapsed="false">
      <c r="A121" s="19" t="str">
        <f aca="false">IF(D121="","",ROW()-1)</f>
        <v/>
      </c>
      <c r="B121" s="22"/>
      <c r="C121" s="22"/>
      <c r="D121" s="22"/>
      <c r="E121" s="22"/>
      <c r="F121" s="22"/>
      <c r="G121" s="9"/>
      <c r="H121" s="9"/>
      <c r="I121" s="22"/>
      <c r="J121" s="9"/>
      <c r="K121" s="11"/>
      <c r="L121" s="9"/>
      <c r="M121" s="22"/>
      <c r="N121" s="22"/>
      <c r="O121" s="22"/>
      <c r="P121" s="19" t="str">
        <f aca="false">IF(O121="","",IFERROR(INDEX(ライバル調査!$K:$K,MATCH(O121,ライバル調査!$B:$B,0)),"未調査"))</f>
        <v/>
      </c>
      <c r="Q121" s="22"/>
      <c r="R121" s="22"/>
    </row>
    <row r="122" customFormat="false" ht="15" hidden="false" customHeight="true" outlineLevel="0" collapsed="false">
      <c r="A122" s="19" t="str">
        <f aca="false">IF(D122="","",ROW()-1)</f>
        <v/>
      </c>
      <c r="B122" s="22"/>
      <c r="C122" s="22"/>
      <c r="D122" s="22"/>
      <c r="E122" s="22"/>
      <c r="F122" s="22"/>
      <c r="G122" s="9"/>
      <c r="H122" s="9"/>
      <c r="I122" s="22"/>
      <c r="J122" s="9"/>
      <c r="K122" s="11"/>
      <c r="L122" s="9"/>
      <c r="M122" s="22"/>
      <c r="N122" s="22"/>
      <c r="O122" s="22"/>
      <c r="P122" s="19" t="str">
        <f aca="false">IF(O122="","",IFERROR(INDEX(ライバル調査!$K:$K,MATCH(O122,ライバル調査!$B:$B,0)),"未調査"))</f>
        <v/>
      </c>
      <c r="Q122" s="22"/>
      <c r="R122" s="22"/>
    </row>
    <row r="123" customFormat="false" ht="15" hidden="false" customHeight="true" outlineLevel="0" collapsed="false">
      <c r="A123" s="19" t="str">
        <f aca="false">IF(D123="","",ROW()-1)</f>
        <v/>
      </c>
      <c r="B123" s="22"/>
      <c r="C123" s="22"/>
      <c r="D123" s="22"/>
      <c r="E123" s="22"/>
      <c r="F123" s="22"/>
      <c r="G123" s="9"/>
      <c r="H123" s="9"/>
      <c r="I123" s="22"/>
      <c r="J123" s="9"/>
      <c r="K123" s="11"/>
      <c r="L123" s="9"/>
      <c r="M123" s="22"/>
      <c r="N123" s="22"/>
      <c r="O123" s="22"/>
      <c r="P123" s="19" t="str">
        <f aca="false">IF(O123="","",IFERROR(INDEX(ライバル調査!$K:$K,MATCH(O123,ライバル調査!$B:$B,0)),"未調査"))</f>
        <v/>
      </c>
      <c r="Q123" s="22"/>
      <c r="R123" s="22"/>
    </row>
    <row r="124" customFormat="false" ht="15" hidden="false" customHeight="true" outlineLevel="0" collapsed="false">
      <c r="A124" s="19" t="str">
        <f aca="false">IF(D124="","",ROW()-1)</f>
        <v/>
      </c>
      <c r="B124" s="22"/>
      <c r="C124" s="22"/>
      <c r="D124" s="22"/>
      <c r="E124" s="22"/>
      <c r="F124" s="22"/>
      <c r="G124" s="9"/>
      <c r="H124" s="9"/>
      <c r="I124" s="22"/>
      <c r="J124" s="9"/>
      <c r="K124" s="11"/>
      <c r="L124" s="9"/>
      <c r="M124" s="22"/>
      <c r="N124" s="22"/>
      <c r="O124" s="22"/>
      <c r="P124" s="19" t="str">
        <f aca="false">IF(O124="","",IFERROR(INDEX(ライバル調査!$K:$K,MATCH(O124,ライバル調査!$B:$B,0)),"未調査"))</f>
        <v/>
      </c>
      <c r="Q124" s="22"/>
      <c r="R124" s="22"/>
    </row>
    <row r="125" customFormat="false" ht="15" hidden="false" customHeight="true" outlineLevel="0" collapsed="false">
      <c r="A125" s="19" t="str">
        <f aca="false">IF(D125="","",ROW()-1)</f>
        <v/>
      </c>
      <c r="B125" s="22"/>
      <c r="C125" s="22"/>
      <c r="D125" s="22"/>
      <c r="E125" s="22"/>
      <c r="F125" s="22"/>
      <c r="G125" s="9"/>
      <c r="H125" s="9"/>
      <c r="I125" s="22"/>
      <c r="J125" s="9"/>
      <c r="K125" s="11"/>
      <c r="L125" s="9"/>
      <c r="M125" s="22"/>
      <c r="N125" s="22"/>
      <c r="O125" s="22"/>
      <c r="P125" s="19" t="str">
        <f aca="false">IF(O125="","",IFERROR(INDEX(ライバル調査!$K:$K,MATCH(O125,ライバル調査!$B:$B,0)),"未調査"))</f>
        <v/>
      </c>
      <c r="Q125" s="22"/>
      <c r="R125" s="22"/>
    </row>
    <row r="126" customFormat="false" ht="15" hidden="false" customHeight="true" outlineLevel="0" collapsed="false">
      <c r="A126" s="19" t="str">
        <f aca="false">IF(D126="","",ROW()-1)</f>
        <v/>
      </c>
      <c r="B126" s="22"/>
      <c r="C126" s="22"/>
      <c r="D126" s="22"/>
      <c r="E126" s="22"/>
      <c r="F126" s="22"/>
      <c r="G126" s="9"/>
      <c r="H126" s="9"/>
      <c r="I126" s="22"/>
      <c r="J126" s="9"/>
      <c r="K126" s="11"/>
      <c r="L126" s="9"/>
      <c r="M126" s="22"/>
      <c r="N126" s="22"/>
      <c r="O126" s="22"/>
      <c r="P126" s="19" t="str">
        <f aca="false">IF(O126="","",IFERROR(INDEX(ライバル調査!$K:$K,MATCH(O126,ライバル調査!$B:$B,0)),"未調査"))</f>
        <v/>
      </c>
      <c r="Q126" s="22"/>
      <c r="R126" s="22"/>
    </row>
    <row r="127" customFormat="false" ht="15" hidden="false" customHeight="true" outlineLevel="0" collapsed="false">
      <c r="A127" s="19" t="str">
        <f aca="false">IF(D127="","",ROW()-1)</f>
        <v/>
      </c>
      <c r="B127" s="22"/>
      <c r="C127" s="22"/>
      <c r="D127" s="22"/>
      <c r="E127" s="22"/>
      <c r="F127" s="22"/>
      <c r="G127" s="9"/>
      <c r="H127" s="9"/>
      <c r="I127" s="22"/>
      <c r="J127" s="9"/>
      <c r="K127" s="11"/>
      <c r="L127" s="9"/>
      <c r="M127" s="22"/>
      <c r="N127" s="22"/>
      <c r="O127" s="22"/>
      <c r="P127" s="19" t="str">
        <f aca="false">IF(O127="","",IFERROR(INDEX(ライバル調査!$K:$K,MATCH(O127,ライバル調査!$B:$B,0)),"未調査"))</f>
        <v/>
      </c>
      <c r="Q127" s="22"/>
      <c r="R127" s="22"/>
    </row>
    <row r="128" customFormat="false" ht="15" hidden="false" customHeight="true" outlineLevel="0" collapsed="false">
      <c r="A128" s="19" t="str">
        <f aca="false">IF(D128="","",ROW()-1)</f>
        <v/>
      </c>
      <c r="B128" s="22"/>
      <c r="C128" s="22"/>
      <c r="D128" s="22"/>
      <c r="E128" s="22"/>
      <c r="F128" s="22"/>
      <c r="G128" s="9"/>
      <c r="H128" s="9"/>
      <c r="I128" s="22"/>
      <c r="J128" s="9"/>
      <c r="K128" s="11"/>
      <c r="L128" s="9"/>
      <c r="M128" s="22"/>
      <c r="N128" s="22"/>
      <c r="O128" s="22"/>
      <c r="P128" s="19" t="str">
        <f aca="false">IF(O128="","",IFERROR(INDEX(ライバル調査!$K:$K,MATCH(O128,ライバル調査!$B:$B,0)),"未調査"))</f>
        <v/>
      </c>
      <c r="Q128" s="22"/>
      <c r="R128" s="22"/>
    </row>
    <row r="129" customFormat="false" ht="15" hidden="false" customHeight="true" outlineLevel="0" collapsed="false">
      <c r="A129" s="19" t="str">
        <f aca="false">IF(D129="","",ROW()-1)</f>
        <v/>
      </c>
      <c r="B129" s="22"/>
      <c r="C129" s="22"/>
      <c r="D129" s="22"/>
      <c r="E129" s="22"/>
      <c r="F129" s="22"/>
      <c r="G129" s="9"/>
      <c r="H129" s="9"/>
      <c r="I129" s="22"/>
      <c r="J129" s="9"/>
      <c r="K129" s="11"/>
      <c r="L129" s="9"/>
      <c r="M129" s="22"/>
      <c r="N129" s="22"/>
      <c r="O129" s="22"/>
      <c r="P129" s="19" t="str">
        <f aca="false">IF(O129="","",IFERROR(INDEX(ライバル調査!$K:$K,MATCH(O129,ライバル調査!$B:$B,0)),"未調査"))</f>
        <v/>
      </c>
      <c r="Q129" s="22"/>
      <c r="R129" s="22"/>
    </row>
    <row r="130" customFormat="false" ht="15" hidden="false" customHeight="true" outlineLevel="0" collapsed="false">
      <c r="A130" s="19" t="str">
        <f aca="false">IF(D130="","",ROW()-1)</f>
        <v/>
      </c>
      <c r="B130" s="22"/>
      <c r="C130" s="22"/>
      <c r="D130" s="22"/>
      <c r="E130" s="22"/>
      <c r="F130" s="22"/>
      <c r="G130" s="9"/>
      <c r="H130" s="9"/>
      <c r="I130" s="22"/>
      <c r="J130" s="9"/>
      <c r="K130" s="11"/>
      <c r="L130" s="9"/>
      <c r="M130" s="22"/>
      <c r="N130" s="22"/>
      <c r="O130" s="22"/>
      <c r="P130" s="19" t="str">
        <f aca="false">IF(O130="","",IFERROR(INDEX(ライバル調査!$K:$K,MATCH(O130,ライバル調査!$B:$B,0)),"未調査"))</f>
        <v/>
      </c>
      <c r="Q130" s="22"/>
      <c r="R130" s="22"/>
    </row>
    <row r="131" customFormat="false" ht="15" hidden="false" customHeight="true" outlineLevel="0" collapsed="false">
      <c r="A131" s="19" t="str">
        <f aca="false">IF(D131="","",ROW()-1)</f>
        <v/>
      </c>
      <c r="B131" s="22"/>
      <c r="C131" s="22"/>
      <c r="D131" s="22"/>
      <c r="E131" s="22"/>
      <c r="F131" s="22"/>
      <c r="G131" s="9"/>
      <c r="H131" s="9"/>
      <c r="I131" s="22"/>
      <c r="J131" s="9"/>
      <c r="K131" s="11"/>
      <c r="L131" s="9"/>
      <c r="M131" s="22"/>
      <c r="N131" s="22"/>
      <c r="O131" s="22"/>
      <c r="P131" s="19" t="str">
        <f aca="false">IF(O131="","",IFERROR(INDEX(ライバル調査!$K:$K,MATCH(O131,ライバル調査!$B:$B,0)),"未調査"))</f>
        <v/>
      </c>
      <c r="Q131" s="22"/>
      <c r="R131" s="22"/>
    </row>
    <row r="132" customFormat="false" ht="15" hidden="false" customHeight="true" outlineLevel="0" collapsed="false">
      <c r="A132" s="19" t="str">
        <f aca="false">IF(D132="","",ROW()-1)</f>
        <v/>
      </c>
      <c r="B132" s="22"/>
      <c r="C132" s="22"/>
      <c r="D132" s="22"/>
      <c r="E132" s="22"/>
      <c r="F132" s="22"/>
      <c r="G132" s="9"/>
      <c r="H132" s="9"/>
      <c r="I132" s="22"/>
      <c r="J132" s="9"/>
      <c r="K132" s="11"/>
      <c r="L132" s="9"/>
      <c r="M132" s="22"/>
      <c r="N132" s="22"/>
      <c r="O132" s="22"/>
      <c r="P132" s="19" t="str">
        <f aca="false">IF(O132="","",IFERROR(INDEX(ライバル調査!$K:$K,MATCH(O132,ライバル調査!$B:$B,0)),"未調査"))</f>
        <v/>
      </c>
      <c r="Q132" s="22"/>
      <c r="R132" s="22"/>
    </row>
    <row r="133" customFormat="false" ht="15" hidden="false" customHeight="true" outlineLevel="0" collapsed="false">
      <c r="A133" s="19" t="str">
        <f aca="false">IF(D133="","",ROW()-1)</f>
        <v/>
      </c>
      <c r="B133" s="22"/>
      <c r="C133" s="22"/>
      <c r="D133" s="22"/>
      <c r="E133" s="22"/>
      <c r="F133" s="22"/>
      <c r="G133" s="9"/>
      <c r="H133" s="9"/>
      <c r="I133" s="22"/>
      <c r="J133" s="9"/>
      <c r="K133" s="11"/>
      <c r="L133" s="9"/>
      <c r="M133" s="22"/>
      <c r="N133" s="22"/>
      <c r="O133" s="22"/>
      <c r="P133" s="19" t="str">
        <f aca="false">IF(O133="","",IFERROR(INDEX(ライバル調査!$K:$K,MATCH(O133,ライバル調査!$B:$B,0)),"未調査"))</f>
        <v/>
      </c>
      <c r="Q133" s="22"/>
      <c r="R133" s="22"/>
    </row>
    <row r="134" customFormat="false" ht="15" hidden="false" customHeight="true" outlineLevel="0" collapsed="false">
      <c r="A134" s="19" t="str">
        <f aca="false">IF(D134="","",ROW()-1)</f>
        <v/>
      </c>
      <c r="B134" s="22"/>
      <c r="C134" s="22"/>
      <c r="D134" s="22"/>
      <c r="E134" s="22"/>
      <c r="F134" s="22"/>
      <c r="G134" s="9"/>
      <c r="H134" s="9"/>
      <c r="I134" s="22"/>
      <c r="J134" s="9"/>
      <c r="K134" s="11"/>
      <c r="L134" s="9"/>
      <c r="M134" s="22"/>
      <c r="N134" s="22"/>
      <c r="O134" s="22"/>
      <c r="P134" s="19" t="str">
        <f aca="false">IF(O134="","",IFERROR(INDEX(ライバル調査!$K:$K,MATCH(O134,ライバル調査!$B:$B,0)),"未調査"))</f>
        <v/>
      </c>
      <c r="Q134" s="22"/>
      <c r="R134" s="22"/>
    </row>
    <row r="135" customFormat="false" ht="15" hidden="false" customHeight="true" outlineLevel="0" collapsed="false">
      <c r="A135" s="19" t="str">
        <f aca="false">IF(D135="","",ROW()-1)</f>
        <v/>
      </c>
      <c r="B135" s="22"/>
      <c r="C135" s="22"/>
      <c r="D135" s="22"/>
      <c r="E135" s="22"/>
      <c r="F135" s="22"/>
      <c r="G135" s="9"/>
      <c r="H135" s="9"/>
      <c r="I135" s="22"/>
      <c r="J135" s="9"/>
      <c r="K135" s="11"/>
      <c r="L135" s="9"/>
      <c r="M135" s="22"/>
      <c r="N135" s="22"/>
      <c r="O135" s="22"/>
      <c r="P135" s="19" t="str">
        <f aca="false">IF(O135="","",IFERROR(INDEX(ライバル調査!$K:$K,MATCH(O135,ライバル調査!$B:$B,0)),"未調査"))</f>
        <v/>
      </c>
      <c r="Q135" s="22"/>
      <c r="R135" s="22"/>
    </row>
    <row r="136" customFormat="false" ht="15" hidden="false" customHeight="true" outlineLevel="0" collapsed="false">
      <c r="A136" s="19" t="str">
        <f aca="false">IF(D136="","",ROW()-1)</f>
        <v/>
      </c>
      <c r="B136" s="22"/>
      <c r="C136" s="22"/>
      <c r="D136" s="22"/>
      <c r="E136" s="22"/>
      <c r="F136" s="22"/>
      <c r="G136" s="9"/>
      <c r="H136" s="9"/>
      <c r="I136" s="22"/>
      <c r="J136" s="9"/>
      <c r="K136" s="11"/>
      <c r="L136" s="9"/>
      <c r="M136" s="22"/>
      <c r="N136" s="22"/>
      <c r="O136" s="22"/>
      <c r="P136" s="19" t="str">
        <f aca="false">IF(O136="","",IFERROR(INDEX(ライバル調査!$K:$K,MATCH(O136,ライバル調査!$B:$B,0)),"未調査"))</f>
        <v/>
      </c>
      <c r="Q136" s="22"/>
      <c r="R136" s="22"/>
    </row>
    <row r="137" customFormat="false" ht="15" hidden="false" customHeight="true" outlineLevel="0" collapsed="false">
      <c r="A137" s="19" t="str">
        <f aca="false">IF(D137="","",ROW()-1)</f>
        <v/>
      </c>
      <c r="B137" s="22"/>
      <c r="C137" s="22"/>
      <c r="D137" s="22"/>
      <c r="E137" s="22"/>
      <c r="F137" s="22"/>
      <c r="G137" s="9"/>
      <c r="H137" s="9"/>
      <c r="I137" s="22"/>
      <c r="J137" s="9"/>
      <c r="K137" s="11"/>
      <c r="L137" s="9"/>
      <c r="M137" s="22"/>
      <c r="N137" s="22"/>
      <c r="O137" s="22"/>
      <c r="P137" s="19" t="str">
        <f aca="false">IF(O137="","",IFERROR(INDEX(ライバル調査!$K:$K,MATCH(O137,ライバル調査!$B:$B,0)),"未調査"))</f>
        <v/>
      </c>
      <c r="Q137" s="22"/>
      <c r="R137" s="22"/>
    </row>
    <row r="138" customFormat="false" ht="15" hidden="false" customHeight="true" outlineLevel="0" collapsed="false">
      <c r="A138" s="19" t="str">
        <f aca="false">IF(D138="","",ROW()-1)</f>
        <v/>
      </c>
      <c r="B138" s="22"/>
      <c r="C138" s="22"/>
      <c r="D138" s="22"/>
      <c r="E138" s="22"/>
      <c r="F138" s="22"/>
      <c r="G138" s="9"/>
      <c r="H138" s="9"/>
      <c r="I138" s="22"/>
      <c r="J138" s="9"/>
      <c r="K138" s="11"/>
      <c r="L138" s="9"/>
      <c r="M138" s="22"/>
      <c r="N138" s="22"/>
      <c r="O138" s="22"/>
      <c r="P138" s="19" t="str">
        <f aca="false">IF(O138="","",IFERROR(INDEX(ライバル調査!$K:$K,MATCH(O138,ライバル調査!$B:$B,0)),"未調査"))</f>
        <v/>
      </c>
      <c r="Q138" s="22"/>
      <c r="R138" s="22"/>
    </row>
    <row r="139" customFormat="false" ht="15" hidden="false" customHeight="true" outlineLevel="0" collapsed="false">
      <c r="A139" s="19" t="str">
        <f aca="false">IF(D139="","",ROW()-1)</f>
        <v/>
      </c>
      <c r="B139" s="22"/>
      <c r="C139" s="22"/>
      <c r="D139" s="22"/>
      <c r="E139" s="22"/>
      <c r="F139" s="22"/>
      <c r="G139" s="9"/>
      <c r="H139" s="9"/>
      <c r="I139" s="22"/>
      <c r="J139" s="9"/>
      <c r="K139" s="11"/>
      <c r="L139" s="9"/>
      <c r="M139" s="22"/>
      <c r="N139" s="22"/>
      <c r="O139" s="22"/>
      <c r="P139" s="19" t="str">
        <f aca="false">IF(O139="","",IFERROR(INDEX(ライバル調査!$K:$K,MATCH(O139,ライバル調査!$B:$B,0)),"未調査"))</f>
        <v/>
      </c>
      <c r="Q139" s="22"/>
      <c r="R139" s="22"/>
    </row>
    <row r="140" customFormat="false" ht="15" hidden="false" customHeight="true" outlineLevel="0" collapsed="false">
      <c r="A140" s="19" t="str">
        <f aca="false">IF(D140="","",ROW()-1)</f>
        <v/>
      </c>
      <c r="B140" s="22"/>
      <c r="C140" s="22"/>
      <c r="D140" s="22"/>
      <c r="E140" s="22"/>
      <c r="F140" s="22"/>
      <c r="G140" s="9"/>
      <c r="H140" s="9"/>
      <c r="I140" s="22"/>
      <c r="J140" s="9"/>
      <c r="K140" s="11"/>
      <c r="L140" s="9"/>
      <c r="M140" s="22"/>
      <c r="N140" s="22"/>
      <c r="O140" s="22"/>
      <c r="P140" s="19" t="str">
        <f aca="false">IF(O140="","",IFERROR(INDEX(ライバル調査!$K:$K,MATCH(O140,ライバル調査!$B:$B,0)),"未調査"))</f>
        <v/>
      </c>
      <c r="Q140" s="22"/>
      <c r="R140" s="22"/>
    </row>
    <row r="141" customFormat="false" ht="15" hidden="false" customHeight="true" outlineLevel="0" collapsed="false">
      <c r="A141" s="19" t="str">
        <f aca="false">IF(D141="","",ROW()-1)</f>
        <v/>
      </c>
      <c r="B141" s="22"/>
      <c r="C141" s="22"/>
      <c r="D141" s="22"/>
      <c r="E141" s="22"/>
      <c r="F141" s="22"/>
      <c r="G141" s="9"/>
      <c r="H141" s="9"/>
      <c r="I141" s="22"/>
      <c r="J141" s="9"/>
      <c r="K141" s="11"/>
      <c r="L141" s="9"/>
      <c r="M141" s="22"/>
      <c r="N141" s="22"/>
      <c r="O141" s="22"/>
      <c r="P141" s="19" t="str">
        <f aca="false">IF(O141="","",IFERROR(INDEX(ライバル調査!$K:$K,MATCH(O141,ライバル調査!$B:$B,0)),"未調査"))</f>
        <v/>
      </c>
      <c r="Q141" s="22"/>
      <c r="R141" s="22"/>
    </row>
    <row r="142" customFormat="false" ht="15" hidden="false" customHeight="true" outlineLevel="0" collapsed="false">
      <c r="A142" s="19" t="str">
        <f aca="false">IF(D142="","",ROW()-1)</f>
        <v/>
      </c>
      <c r="B142" s="22"/>
      <c r="C142" s="22"/>
      <c r="D142" s="22"/>
      <c r="E142" s="22"/>
      <c r="F142" s="22"/>
      <c r="G142" s="9"/>
      <c r="H142" s="9"/>
      <c r="I142" s="22"/>
      <c r="J142" s="9"/>
      <c r="K142" s="11"/>
      <c r="L142" s="9"/>
      <c r="M142" s="22"/>
      <c r="N142" s="22"/>
      <c r="O142" s="22"/>
      <c r="P142" s="19" t="str">
        <f aca="false">IF(O142="","",IFERROR(INDEX(ライバル調査!$K:$K,MATCH(O142,ライバル調査!$B:$B,0)),"未調査"))</f>
        <v/>
      </c>
      <c r="Q142" s="22"/>
      <c r="R142" s="22"/>
    </row>
    <row r="143" customFormat="false" ht="15" hidden="false" customHeight="true" outlineLevel="0" collapsed="false">
      <c r="A143" s="19" t="str">
        <f aca="false">IF(D143="","",ROW()-1)</f>
        <v/>
      </c>
      <c r="B143" s="22"/>
      <c r="C143" s="22"/>
      <c r="D143" s="22"/>
      <c r="E143" s="22"/>
      <c r="F143" s="22"/>
      <c r="G143" s="9"/>
      <c r="H143" s="9"/>
      <c r="I143" s="22"/>
      <c r="J143" s="9"/>
      <c r="K143" s="11"/>
      <c r="L143" s="9"/>
      <c r="M143" s="22"/>
      <c r="N143" s="22"/>
      <c r="O143" s="22"/>
      <c r="P143" s="19" t="str">
        <f aca="false">IF(O143="","",IFERROR(INDEX(ライバル調査!$K:$K,MATCH(O143,ライバル調査!$B:$B,0)),"未調査"))</f>
        <v/>
      </c>
      <c r="Q143" s="22"/>
      <c r="R143" s="22"/>
    </row>
    <row r="144" customFormat="false" ht="15" hidden="false" customHeight="true" outlineLevel="0" collapsed="false">
      <c r="A144" s="19" t="str">
        <f aca="false">IF(D144="","",ROW()-1)</f>
        <v/>
      </c>
      <c r="B144" s="22"/>
      <c r="C144" s="22"/>
      <c r="D144" s="22"/>
      <c r="E144" s="22"/>
      <c r="F144" s="22"/>
      <c r="G144" s="9"/>
      <c r="H144" s="9"/>
      <c r="I144" s="22"/>
      <c r="J144" s="9"/>
      <c r="K144" s="11"/>
      <c r="L144" s="9"/>
      <c r="M144" s="22"/>
      <c r="N144" s="22"/>
      <c r="O144" s="22"/>
      <c r="P144" s="19" t="str">
        <f aca="false">IF(O144="","",IFERROR(INDEX(ライバル調査!$K:$K,MATCH(O144,ライバル調査!$B:$B,0)),"未調査"))</f>
        <v/>
      </c>
      <c r="Q144" s="22"/>
      <c r="R144" s="22"/>
    </row>
    <row r="145" customFormat="false" ht="15" hidden="false" customHeight="true" outlineLevel="0" collapsed="false">
      <c r="A145" s="19" t="str">
        <f aca="false">IF(D145="","",ROW()-1)</f>
        <v/>
      </c>
      <c r="B145" s="22"/>
      <c r="C145" s="22"/>
      <c r="D145" s="22"/>
      <c r="E145" s="22"/>
      <c r="F145" s="22"/>
      <c r="G145" s="9"/>
      <c r="H145" s="9"/>
      <c r="I145" s="22"/>
      <c r="J145" s="9"/>
      <c r="K145" s="11"/>
      <c r="L145" s="9"/>
      <c r="M145" s="22"/>
      <c r="N145" s="22"/>
      <c r="O145" s="22"/>
      <c r="P145" s="19" t="str">
        <f aca="false">IF(O145="","",IFERROR(INDEX(ライバル調査!$K:$K,MATCH(O145,ライバル調査!$B:$B,0)),"未調査"))</f>
        <v/>
      </c>
      <c r="Q145" s="22"/>
      <c r="R145" s="22"/>
    </row>
    <row r="146" customFormat="false" ht="15" hidden="false" customHeight="true" outlineLevel="0" collapsed="false">
      <c r="A146" s="19" t="str">
        <f aca="false">IF(D146="","",ROW()-1)</f>
        <v/>
      </c>
      <c r="B146" s="22"/>
      <c r="C146" s="22"/>
      <c r="D146" s="22"/>
      <c r="E146" s="22"/>
      <c r="F146" s="22"/>
      <c r="G146" s="9"/>
      <c r="H146" s="9"/>
      <c r="I146" s="22"/>
      <c r="J146" s="9"/>
      <c r="K146" s="11"/>
      <c r="L146" s="9"/>
      <c r="M146" s="22"/>
      <c r="N146" s="22"/>
      <c r="O146" s="22"/>
      <c r="P146" s="19" t="str">
        <f aca="false">IF(O146="","",IFERROR(INDEX(ライバル調査!$K:$K,MATCH(O146,ライバル調査!$B:$B,0)),"未調査"))</f>
        <v/>
      </c>
      <c r="Q146" s="22"/>
      <c r="R146" s="22"/>
    </row>
    <row r="147" customFormat="false" ht="15" hidden="false" customHeight="true" outlineLevel="0" collapsed="false">
      <c r="A147" s="19" t="str">
        <f aca="false">IF(D147="","",ROW()-1)</f>
        <v/>
      </c>
      <c r="B147" s="22"/>
      <c r="C147" s="22"/>
      <c r="D147" s="22"/>
      <c r="E147" s="22"/>
      <c r="F147" s="22"/>
      <c r="G147" s="9"/>
      <c r="H147" s="9"/>
      <c r="I147" s="22"/>
      <c r="J147" s="9"/>
      <c r="K147" s="11"/>
      <c r="L147" s="9"/>
      <c r="M147" s="22"/>
      <c r="N147" s="22"/>
      <c r="O147" s="22"/>
      <c r="P147" s="19" t="str">
        <f aca="false">IF(O147="","",IFERROR(INDEX(ライバル調査!$K:$K,MATCH(O147,ライバル調査!$B:$B,0)),"未調査"))</f>
        <v/>
      </c>
      <c r="Q147" s="22"/>
      <c r="R147" s="22"/>
    </row>
    <row r="148" customFormat="false" ht="15" hidden="false" customHeight="true" outlineLevel="0" collapsed="false">
      <c r="A148" s="19" t="str">
        <f aca="false">IF(D148="","",ROW()-1)</f>
        <v/>
      </c>
      <c r="B148" s="22"/>
      <c r="C148" s="22"/>
      <c r="D148" s="22"/>
      <c r="E148" s="22"/>
      <c r="F148" s="22"/>
      <c r="G148" s="9"/>
      <c r="H148" s="9"/>
      <c r="I148" s="22"/>
      <c r="J148" s="9"/>
      <c r="K148" s="11"/>
      <c r="L148" s="9"/>
      <c r="M148" s="22"/>
      <c r="N148" s="22"/>
      <c r="O148" s="22"/>
      <c r="P148" s="19" t="str">
        <f aca="false">IF(O148="","",IFERROR(INDEX(ライバル調査!$K:$K,MATCH(O148,ライバル調査!$B:$B,0)),"未調査"))</f>
        <v/>
      </c>
      <c r="Q148" s="22"/>
      <c r="R148" s="22"/>
    </row>
    <row r="149" customFormat="false" ht="15" hidden="false" customHeight="true" outlineLevel="0" collapsed="false">
      <c r="A149" s="19" t="str">
        <f aca="false">IF(D149="","",ROW()-1)</f>
        <v/>
      </c>
      <c r="B149" s="22"/>
      <c r="C149" s="22"/>
      <c r="D149" s="22"/>
      <c r="E149" s="22"/>
      <c r="F149" s="22"/>
      <c r="G149" s="9"/>
      <c r="H149" s="9"/>
      <c r="I149" s="22"/>
      <c r="J149" s="9"/>
      <c r="K149" s="11"/>
      <c r="L149" s="9"/>
      <c r="M149" s="22"/>
      <c r="N149" s="22"/>
      <c r="O149" s="22"/>
      <c r="P149" s="19" t="str">
        <f aca="false">IF(O149="","",IFERROR(INDEX(ライバル調査!$K:$K,MATCH(O149,ライバル調査!$B:$B,0)),"未調査"))</f>
        <v/>
      </c>
      <c r="Q149" s="22"/>
      <c r="R149" s="22"/>
    </row>
    <row r="150" customFormat="false" ht="15" hidden="false" customHeight="true" outlineLevel="0" collapsed="false">
      <c r="A150" s="19" t="str">
        <f aca="false">IF(D150="","",ROW()-1)</f>
        <v/>
      </c>
      <c r="B150" s="22"/>
      <c r="C150" s="22"/>
      <c r="D150" s="22"/>
      <c r="E150" s="22"/>
      <c r="F150" s="22"/>
      <c r="G150" s="9"/>
      <c r="H150" s="9"/>
      <c r="I150" s="22"/>
      <c r="J150" s="9"/>
      <c r="K150" s="11"/>
      <c r="L150" s="9"/>
      <c r="M150" s="22"/>
      <c r="N150" s="22"/>
      <c r="O150" s="22"/>
      <c r="P150" s="19" t="str">
        <f aca="false">IF(O150="","",IFERROR(INDEX(ライバル調査!$K:$K,MATCH(O150,ライバル調査!$B:$B,0)),"未調査"))</f>
        <v/>
      </c>
      <c r="Q150" s="22"/>
      <c r="R150" s="22"/>
    </row>
    <row r="151" customFormat="false" ht="15" hidden="false" customHeight="true" outlineLevel="0" collapsed="false">
      <c r="A151" s="19" t="str">
        <f aca="false">IF(D151="","",ROW()-1)</f>
        <v/>
      </c>
      <c r="B151" s="22"/>
      <c r="C151" s="22"/>
      <c r="D151" s="22"/>
      <c r="E151" s="22"/>
      <c r="F151" s="22"/>
      <c r="G151" s="9"/>
      <c r="H151" s="9"/>
      <c r="I151" s="22"/>
      <c r="J151" s="9"/>
      <c r="K151" s="11"/>
      <c r="L151" s="9"/>
      <c r="M151" s="22"/>
      <c r="N151" s="22"/>
      <c r="O151" s="22"/>
      <c r="P151" s="19" t="str">
        <f aca="false">IF(O151="","",IFERROR(INDEX(ライバル調査!$K:$K,MATCH(O151,ライバル調査!$B:$B,0)),"未調査"))</f>
        <v/>
      </c>
      <c r="Q151" s="22"/>
      <c r="R151" s="22"/>
    </row>
    <row r="152" customFormat="false" ht="15" hidden="false" customHeight="true" outlineLevel="0" collapsed="false">
      <c r="A152" s="19" t="str">
        <f aca="false">IF(D152="","",ROW()-1)</f>
        <v/>
      </c>
      <c r="B152" s="22"/>
      <c r="C152" s="22"/>
      <c r="D152" s="22"/>
      <c r="E152" s="22"/>
      <c r="F152" s="22"/>
      <c r="G152" s="9"/>
      <c r="H152" s="9"/>
      <c r="I152" s="22"/>
      <c r="J152" s="9"/>
      <c r="K152" s="11"/>
      <c r="L152" s="9"/>
      <c r="M152" s="22"/>
      <c r="N152" s="22"/>
      <c r="O152" s="22"/>
      <c r="P152" s="19" t="str">
        <f aca="false">IF(O152="","",IFERROR(INDEX(ライバル調査!$K:$K,MATCH(O152,ライバル調査!$B:$B,0)),"未調査"))</f>
        <v/>
      </c>
      <c r="Q152" s="22"/>
      <c r="R152" s="22"/>
    </row>
    <row r="153" customFormat="false" ht="15" hidden="false" customHeight="true" outlineLevel="0" collapsed="false">
      <c r="A153" s="19" t="str">
        <f aca="false">IF(D153="","",ROW()-1)</f>
        <v/>
      </c>
      <c r="B153" s="22"/>
      <c r="C153" s="22"/>
      <c r="D153" s="22"/>
      <c r="E153" s="22"/>
      <c r="F153" s="22"/>
      <c r="G153" s="9"/>
      <c r="H153" s="9"/>
      <c r="I153" s="22"/>
      <c r="J153" s="9"/>
      <c r="K153" s="11"/>
      <c r="L153" s="9"/>
      <c r="M153" s="22"/>
      <c r="N153" s="22"/>
      <c r="O153" s="22"/>
      <c r="P153" s="19" t="str">
        <f aca="false">IF(O153="","",IFERROR(INDEX(ライバル調査!$K:$K,MATCH(O153,ライバル調査!$B:$B,0)),"未調査"))</f>
        <v/>
      </c>
      <c r="Q153" s="22"/>
      <c r="R153" s="22"/>
    </row>
    <row r="154" customFormat="false" ht="15" hidden="false" customHeight="true" outlineLevel="0" collapsed="false">
      <c r="A154" s="19" t="str">
        <f aca="false">IF(D154="","",ROW()-1)</f>
        <v/>
      </c>
      <c r="B154" s="22"/>
      <c r="C154" s="22"/>
      <c r="D154" s="22"/>
      <c r="E154" s="22"/>
      <c r="F154" s="22"/>
      <c r="G154" s="9"/>
      <c r="H154" s="9"/>
      <c r="I154" s="22"/>
      <c r="J154" s="9"/>
      <c r="K154" s="11"/>
      <c r="L154" s="9"/>
      <c r="M154" s="22"/>
      <c r="N154" s="22"/>
      <c r="O154" s="22"/>
      <c r="P154" s="19" t="str">
        <f aca="false">IF(O154="","",IFERROR(INDEX(ライバル調査!$K:$K,MATCH(O154,ライバル調査!$B:$B,0)),"未調査"))</f>
        <v/>
      </c>
      <c r="Q154" s="22"/>
      <c r="R154" s="22"/>
    </row>
    <row r="155" customFormat="false" ht="15" hidden="false" customHeight="true" outlineLevel="0" collapsed="false">
      <c r="A155" s="19" t="str">
        <f aca="false">IF(D155="","",ROW()-1)</f>
        <v/>
      </c>
      <c r="B155" s="22"/>
      <c r="C155" s="22"/>
      <c r="D155" s="22"/>
      <c r="E155" s="22"/>
      <c r="F155" s="22"/>
      <c r="G155" s="9"/>
      <c r="H155" s="9"/>
      <c r="I155" s="22"/>
      <c r="J155" s="9"/>
      <c r="K155" s="11"/>
      <c r="L155" s="9"/>
      <c r="M155" s="22"/>
      <c r="N155" s="22"/>
      <c r="O155" s="22"/>
      <c r="P155" s="19" t="str">
        <f aca="false">IF(O155="","",IFERROR(INDEX(ライバル調査!$K:$K,MATCH(O155,ライバル調査!$B:$B,0)),"未調査"))</f>
        <v/>
      </c>
      <c r="Q155" s="22"/>
      <c r="R155" s="22"/>
    </row>
    <row r="156" customFormat="false" ht="15" hidden="false" customHeight="true" outlineLevel="0" collapsed="false">
      <c r="A156" s="19" t="str">
        <f aca="false">IF(D156="","",ROW()-1)</f>
        <v/>
      </c>
      <c r="B156" s="22"/>
      <c r="C156" s="22"/>
      <c r="D156" s="22"/>
      <c r="E156" s="22"/>
      <c r="F156" s="22"/>
      <c r="G156" s="9"/>
      <c r="H156" s="9"/>
      <c r="I156" s="22"/>
      <c r="J156" s="9"/>
      <c r="K156" s="11"/>
      <c r="L156" s="9"/>
      <c r="M156" s="22"/>
      <c r="N156" s="22"/>
      <c r="O156" s="22"/>
      <c r="P156" s="19" t="str">
        <f aca="false">IF(O156="","",IFERROR(INDEX(ライバル調査!$K:$K,MATCH(O156,ライバル調査!$B:$B,0)),"未調査"))</f>
        <v/>
      </c>
      <c r="Q156" s="22"/>
      <c r="R156" s="22"/>
    </row>
    <row r="157" customFormat="false" ht="15" hidden="false" customHeight="true" outlineLevel="0" collapsed="false">
      <c r="A157" s="19" t="str">
        <f aca="false">IF(D157="","",ROW()-1)</f>
        <v/>
      </c>
      <c r="B157" s="22"/>
      <c r="C157" s="22"/>
      <c r="D157" s="22"/>
      <c r="E157" s="22"/>
      <c r="F157" s="22"/>
      <c r="G157" s="9"/>
      <c r="H157" s="9"/>
      <c r="I157" s="22"/>
      <c r="J157" s="9"/>
      <c r="K157" s="11"/>
      <c r="L157" s="9"/>
      <c r="M157" s="22"/>
      <c r="N157" s="22"/>
      <c r="O157" s="22"/>
      <c r="P157" s="19" t="str">
        <f aca="false">IF(O157="","",IFERROR(INDEX(ライバル調査!$K:$K,MATCH(O157,ライバル調査!$B:$B,0)),"未調査"))</f>
        <v/>
      </c>
      <c r="Q157" s="22"/>
      <c r="R157" s="22"/>
    </row>
    <row r="158" customFormat="false" ht="15" hidden="false" customHeight="true" outlineLevel="0" collapsed="false">
      <c r="A158" s="19" t="str">
        <f aca="false">IF(D158="","",ROW()-1)</f>
        <v/>
      </c>
      <c r="B158" s="22"/>
      <c r="C158" s="22"/>
      <c r="D158" s="22"/>
      <c r="E158" s="22"/>
      <c r="F158" s="22"/>
      <c r="G158" s="9"/>
      <c r="H158" s="9"/>
      <c r="I158" s="22"/>
      <c r="J158" s="9"/>
      <c r="K158" s="11"/>
      <c r="L158" s="9"/>
      <c r="M158" s="22"/>
      <c r="N158" s="22"/>
      <c r="O158" s="22"/>
      <c r="P158" s="19" t="str">
        <f aca="false">IF(O158="","",IFERROR(INDEX(ライバル調査!$K:$K,MATCH(O158,ライバル調査!$B:$B,0)),"未調査"))</f>
        <v/>
      </c>
      <c r="Q158" s="22"/>
      <c r="R158" s="22"/>
    </row>
    <row r="159" customFormat="false" ht="15" hidden="false" customHeight="true" outlineLevel="0" collapsed="false">
      <c r="A159" s="19" t="str">
        <f aca="false">IF(D159="","",ROW()-1)</f>
        <v/>
      </c>
      <c r="B159" s="22"/>
      <c r="C159" s="22"/>
      <c r="D159" s="22"/>
      <c r="E159" s="22"/>
      <c r="F159" s="22"/>
      <c r="G159" s="9"/>
      <c r="H159" s="9"/>
      <c r="I159" s="22"/>
      <c r="J159" s="9"/>
      <c r="K159" s="11"/>
      <c r="L159" s="9"/>
      <c r="M159" s="22"/>
      <c r="N159" s="22"/>
      <c r="O159" s="22"/>
      <c r="P159" s="19" t="str">
        <f aca="false">IF(O159="","",IFERROR(INDEX(ライバル調査!$K:$K,MATCH(O159,ライバル調査!$B:$B,0)),"未調査"))</f>
        <v/>
      </c>
      <c r="Q159" s="22"/>
      <c r="R159" s="22"/>
    </row>
    <row r="160" customFormat="false" ht="15" hidden="false" customHeight="true" outlineLevel="0" collapsed="false">
      <c r="A160" s="19" t="str">
        <f aca="false">IF(D160="","",ROW()-1)</f>
        <v/>
      </c>
      <c r="B160" s="22"/>
      <c r="C160" s="22"/>
      <c r="D160" s="22"/>
      <c r="E160" s="22"/>
      <c r="F160" s="22"/>
      <c r="G160" s="9"/>
      <c r="H160" s="9"/>
      <c r="I160" s="22"/>
      <c r="J160" s="9"/>
      <c r="K160" s="11"/>
      <c r="L160" s="9"/>
      <c r="M160" s="22"/>
      <c r="N160" s="22"/>
      <c r="O160" s="22"/>
      <c r="P160" s="19" t="str">
        <f aca="false">IF(O160="","",IFERROR(INDEX(ライバル調査!$K:$K,MATCH(O160,ライバル調査!$B:$B,0)),"未調査"))</f>
        <v/>
      </c>
      <c r="Q160" s="22"/>
      <c r="R160" s="22"/>
    </row>
    <row r="161" customFormat="false" ht="15" hidden="false" customHeight="true" outlineLevel="0" collapsed="false">
      <c r="A161" s="19" t="str">
        <f aca="false">IF(D161="","",ROW()-1)</f>
        <v/>
      </c>
      <c r="B161" s="22"/>
      <c r="C161" s="22"/>
      <c r="D161" s="22"/>
      <c r="E161" s="22"/>
      <c r="F161" s="22"/>
      <c r="G161" s="9"/>
      <c r="H161" s="9"/>
      <c r="I161" s="22"/>
      <c r="J161" s="9"/>
      <c r="K161" s="11"/>
      <c r="L161" s="9"/>
      <c r="M161" s="22"/>
      <c r="N161" s="22"/>
      <c r="O161" s="22"/>
      <c r="P161" s="19" t="str">
        <f aca="false">IF(O161="","",IFERROR(INDEX(ライバル調査!$K:$K,MATCH(O161,ライバル調査!$B:$B,0)),"未調査"))</f>
        <v/>
      </c>
      <c r="Q161" s="22"/>
      <c r="R161" s="22"/>
    </row>
    <row r="162" customFormat="false" ht="15" hidden="false" customHeight="true" outlineLevel="0" collapsed="false">
      <c r="A162" s="19" t="str">
        <f aca="false">IF(D162="","",ROW()-1)</f>
        <v/>
      </c>
      <c r="B162" s="22"/>
      <c r="C162" s="22"/>
      <c r="D162" s="22"/>
      <c r="E162" s="22"/>
      <c r="F162" s="22"/>
      <c r="G162" s="9"/>
      <c r="H162" s="9"/>
      <c r="I162" s="22"/>
      <c r="J162" s="9"/>
      <c r="K162" s="11"/>
      <c r="L162" s="9"/>
      <c r="M162" s="22"/>
      <c r="N162" s="22"/>
      <c r="O162" s="22"/>
      <c r="P162" s="19" t="str">
        <f aca="false">IF(O162="","",IFERROR(INDEX(ライバル調査!$K:$K,MATCH(O162,ライバル調査!$B:$B,0)),"未調査"))</f>
        <v/>
      </c>
      <c r="Q162" s="22"/>
      <c r="R162" s="22"/>
    </row>
    <row r="163" customFormat="false" ht="15" hidden="false" customHeight="true" outlineLevel="0" collapsed="false">
      <c r="A163" s="19" t="str">
        <f aca="false">IF(D163="","",ROW()-1)</f>
        <v/>
      </c>
      <c r="B163" s="22"/>
      <c r="C163" s="22"/>
      <c r="D163" s="22"/>
      <c r="E163" s="22"/>
      <c r="F163" s="22"/>
      <c r="G163" s="9"/>
      <c r="H163" s="9"/>
      <c r="I163" s="22"/>
      <c r="J163" s="9"/>
      <c r="K163" s="11"/>
      <c r="L163" s="9"/>
      <c r="M163" s="22"/>
      <c r="N163" s="22"/>
      <c r="O163" s="22"/>
      <c r="P163" s="19" t="str">
        <f aca="false">IF(O163="","",IFERROR(INDEX(ライバル調査!$K:$K,MATCH(O163,ライバル調査!$B:$B,0)),"未調査"))</f>
        <v/>
      </c>
      <c r="Q163" s="22"/>
      <c r="R163" s="22"/>
    </row>
    <row r="164" customFormat="false" ht="15" hidden="false" customHeight="true" outlineLevel="0" collapsed="false">
      <c r="A164" s="19" t="str">
        <f aca="false">IF(D164="","",ROW()-1)</f>
        <v/>
      </c>
      <c r="B164" s="22"/>
      <c r="C164" s="22"/>
      <c r="D164" s="22"/>
      <c r="E164" s="22"/>
      <c r="F164" s="22"/>
      <c r="G164" s="9"/>
      <c r="H164" s="9"/>
      <c r="I164" s="22"/>
      <c r="J164" s="9"/>
      <c r="K164" s="11"/>
      <c r="L164" s="9"/>
      <c r="M164" s="22"/>
      <c r="N164" s="22"/>
      <c r="O164" s="22"/>
      <c r="P164" s="19" t="str">
        <f aca="false">IF(O164="","",IFERROR(INDEX(ライバル調査!$K:$K,MATCH(O164,ライバル調査!$B:$B,0)),"未調査"))</f>
        <v/>
      </c>
      <c r="Q164" s="22"/>
      <c r="R164" s="22"/>
    </row>
    <row r="165" customFormat="false" ht="15" hidden="false" customHeight="true" outlineLevel="0" collapsed="false">
      <c r="A165" s="19" t="str">
        <f aca="false">IF(D165="","",ROW()-1)</f>
        <v/>
      </c>
      <c r="B165" s="22"/>
      <c r="C165" s="22"/>
      <c r="D165" s="22"/>
      <c r="E165" s="22"/>
      <c r="F165" s="22"/>
      <c r="G165" s="9"/>
      <c r="H165" s="9"/>
      <c r="I165" s="22"/>
      <c r="J165" s="9"/>
      <c r="K165" s="11"/>
      <c r="L165" s="9"/>
      <c r="M165" s="22"/>
      <c r="N165" s="22"/>
      <c r="O165" s="22"/>
      <c r="P165" s="19" t="str">
        <f aca="false">IF(O165="","",IFERROR(INDEX(ライバル調査!$K:$K,MATCH(O165,ライバル調査!$B:$B,0)),"未調査"))</f>
        <v/>
      </c>
      <c r="Q165" s="22"/>
      <c r="R165" s="22"/>
    </row>
    <row r="166" customFormat="false" ht="15" hidden="false" customHeight="true" outlineLevel="0" collapsed="false">
      <c r="A166" s="19" t="str">
        <f aca="false">IF(D166="","",ROW()-1)</f>
        <v/>
      </c>
      <c r="B166" s="22"/>
      <c r="C166" s="22"/>
      <c r="D166" s="22"/>
      <c r="E166" s="22"/>
      <c r="F166" s="22"/>
      <c r="G166" s="9"/>
      <c r="H166" s="9"/>
      <c r="I166" s="22"/>
      <c r="J166" s="9"/>
      <c r="K166" s="11"/>
      <c r="L166" s="9"/>
      <c r="M166" s="22"/>
      <c r="N166" s="22"/>
      <c r="O166" s="22"/>
      <c r="P166" s="19" t="str">
        <f aca="false">IF(O166="","",IFERROR(INDEX(ライバル調査!$K:$K,MATCH(O166,ライバル調査!$B:$B,0)),"未調査"))</f>
        <v/>
      </c>
      <c r="Q166" s="22"/>
      <c r="R166" s="22"/>
    </row>
    <row r="167" customFormat="false" ht="15" hidden="false" customHeight="true" outlineLevel="0" collapsed="false">
      <c r="A167" s="19" t="str">
        <f aca="false">IF(D167="","",ROW()-1)</f>
        <v/>
      </c>
      <c r="B167" s="22"/>
      <c r="C167" s="22"/>
      <c r="D167" s="22"/>
      <c r="E167" s="22"/>
      <c r="F167" s="22"/>
      <c r="G167" s="9"/>
      <c r="H167" s="9"/>
      <c r="I167" s="22"/>
      <c r="J167" s="9"/>
      <c r="K167" s="11"/>
      <c r="L167" s="9"/>
      <c r="M167" s="22"/>
      <c r="N167" s="22"/>
      <c r="O167" s="22"/>
      <c r="P167" s="19" t="str">
        <f aca="false">IF(O167="","",IFERROR(INDEX(ライバル調査!$K:$K,MATCH(O167,ライバル調査!$B:$B,0)),"未調査"))</f>
        <v/>
      </c>
      <c r="Q167" s="22"/>
      <c r="R167" s="22"/>
    </row>
    <row r="168" customFormat="false" ht="15" hidden="false" customHeight="true" outlineLevel="0" collapsed="false">
      <c r="A168" s="19" t="str">
        <f aca="false">IF(D168="","",ROW()-1)</f>
        <v/>
      </c>
      <c r="B168" s="22"/>
      <c r="C168" s="22"/>
      <c r="D168" s="22"/>
      <c r="E168" s="22"/>
      <c r="F168" s="22"/>
      <c r="G168" s="9"/>
      <c r="H168" s="9"/>
      <c r="I168" s="22"/>
      <c r="J168" s="9"/>
      <c r="K168" s="11"/>
      <c r="L168" s="9"/>
      <c r="M168" s="22"/>
      <c r="N168" s="22"/>
      <c r="O168" s="22"/>
      <c r="P168" s="19" t="str">
        <f aca="false">IF(O168="","",IFERROR(INDEX(ライバル調査!$K:$K,MATCH(O168,ライバル調査!$B:$B,0)),"未調査"))</f>
        <v/>
      </c>
      <c r="Q168" s="22"/>
      <c r="R168" s="22"/>
    </row>
    <row r="169" customFormat="false" ht="15" hidden="false" customHeight="true" outlineLevel="0" collapsed="false">
      <c r="A169" s="19" t="str">
        <f aca="false">IF(D169="","",ROW()-1)</f>
        <v/>
      </c>
      <c r="B169" s="22"/>
      <c r="C169" s="22"/>
      <c r="D169" s="22"/>
      <c r="E169" s="22"/>
      <c r="F169" s="22"/>
      <c r="G169" s="9"/>
      <c r="H169" s="9"/>
      <c r="I169" s="22"/>
      <c r="J169" s="9"/>
      <c r="K169" s="11"/>
      <c r="L169" s="9"/>
      <c r="M169" s="22"/>
      <c r="N169" s="22"/>
      <c r="O169" s="22"/>
      <c r="P169" s="19" t="str">
        <f aca="false">IF(O169="","",IFERROR(INDEX(ライバル調査!$K:$K,MATCH(O169,ライバル調査!$B:$B,0)),"未調査"))</f>
        <v/>
      </c>
      <c r="Q169" s="22"/>
      <c r="R169" s="22"/>
    </row>
    <row r="170" customFormat="false" ht="15" hidden="false" customHeight="true" outlineLevel="0" collapsed="false">
      <c r="A170" s="19" t="str">
        <f aca="false">IF(D170="","",ROW()-1)</f>
        <v/>
      </c>
      <c r="B170" s="22"/>
      <c r="C170" s="22"/>
      <c r="D170" s="22"/>
      <c r="E170" s="22"/>
      <c r="F170" s="22"/>
      <c r="G170" s="9"/>
      <c r="H170" s="9"/>
      <c r="I170" s="22"/>
      <c r="J170" s="9"/>
      <c r="K170" s="11"/>
      <c r="L170" s="9"/>
      <c r="M170" s="22"/>
      <c r="N170" s="22"/>
      <c r="O170" s="22"/>
      <c r="P170" s="19" t="str">
        <f aca="false">IF(O170="","",IFERROR(INDEX(ライバル調査!$K:$K,MATCH(O170,ライバル調査!$B:$B,0)),"未調査"))</f>
        <v/>
      </c>
      <c r="Q170" s="22"/>
      <c r="R170" s="22"/>
    </row>
    <row r="171" customFormat="false" ht="15" hidden="false" customHeight="true" outlineLevel="0" collapsed="false">
      <c r="A171" s="19" t="str">
        <f aca="false">IF(D171="","",ROW()-1)</f>
        <v/>
      </c>
      <c r="B171" s="22"/>
      <c r="C171" s="22"/>
      <c r="D171" s="22"/>
      <c r="E171" s="22"/>
      <c r="F171" s="22"/>
      <c r="G171" s="9"/>
      <c r="H171" s="9"/>
      <c r="I171" s="22"/>
      <c r="J171" s="9"/>
      <c r="K171" s="11"/>
      <c r="L171" s="9"/>
      <c r="M171" s="22"/>
      <c r="N171" s="22"/>
      <c r="O171" s="22"/>
      <c r="P171" s="19" t="str">
        <f aca="false">IF(O171="","",IFERROR(INDEX(ライバル調査!$K:$K,MATCH(O171,ライバル調査!$B:$B,0)),"未調査"))</f>
        <v/>
      </c>
      <c r="Q171" s="22"/>
      <c r="R171" s="22"/>
    </row>
    <row r="172" customFormat="false" ht="15" hidden="false" customHeight="true" outlineLevel="0" collapsed="false">
      <c r="A172" s="19" t="str">
        <f aca="false">IF(D172="","",ROW()-1)</f>
        <v/>
      </c>
      <c r="B172" s="22"/>
      <c r="C172" s="22"/>
      <c r="D172" s="22"/>
      <c r="E172" s="22"/>
      <c r="F172" s="22"/>
      <c r="G172" s="9"/>
      <c r="H172" s="9"/>
      <c r="I172" s="22"/>
      <c r="J172" s="9"/>
      <c r="K172" s="11"/>
      <c r="L172" s="9"/>
      <c r="M172" s="22"/>
      <c r="N172" s="22"/>
      <c r="O172" s="22"/>
      <c r="P172" s="19" t="str">
        <f aca="false">IF(O172="","",IFERROR(INDEX(ライバル調査!$K:$K,MATCH(O172,ライバル調査!$B:$B,0)),"未調査"))</f>
        <v/>
      </c>
      <c r="Q172" s="22"/>
      <c r="R172" s="22"/>
    </row>
    <row r="173" customFormat="false" ht="15" hidden="false" customHeight="true" outlineLevel="0" collapsed="false">
      <c r="A173" s="19" t="str">
        <f aca="false">IF(D173="","",ROW()-1)</f>
        <v/>
      </c>
      <c r="B173" s="22"/>
      <c r="C173" s="22"/>
      <c r="D173" s="22"/>
      <c r="E173" s="22"/>
      <c r="F173" s="22"/>
      <c r="G173" s="9"/>
      <c r="H173" s="9"/>
      <c r="I173" s="22"/>
      <c r="J173" s="9"/>
      <c r="K173" s="11"/>
      <c r="L173" s="9"/>
      <c r="M173" s="22"/>
      <c r="N173" s="22"/>
      <c r="O173" s="22"/>
      <c r="P173" s="19" t="str">
        <f aca="false">IF(O173="","",IFERROR(INDEX(ライバル調査!$K:$K,MATCH(O173,ライバル調査!$B:$B,0)),"未調査"))</f>
        <v/>
      </c>
      <c r="Q173" s="22"/>
      <c r="R173" s="22"/>
    </row>
    <row r="174" customFormat="false" ht="15" hidden="false" customHeight="true" outlineLevel="0" collapsed="false">
      <c r="A174" s="19" t="str">
        <f aca="false">IF(D174="","",ROW()-1)</f>
        <v/>
      </c>
      <c r="B174" s="22"/>
      <c r="C174" s="22"/>
      <c r="D174" s="22"/>
      <c r="E174" s="22"/>
      <c r="F174" s="22"/>
      <c r="G174" s="9"/>
      <c r="H174" s="9"/>
      <c r="I174" s="22"/>
      <c r="J174" s="9"/>
      <c r="K174" s="11"/>
      <c r="L174" s="9"/>
      <c r="M174" s="22"/>
      <c r="N174" s="22"/>
      <c r="O174" s="22"/>
      <c r="P174" s="19" t="str">
        <f aca="false">IF(O174="","",IFERROR(INDEX(ライバル調査!$K:$K,MATCH(O174,ライバル調査!$B:$B,0)),"未調査"))</f>
        <v/>
      </c>
      <c r="Q174" s="22"/>
      <c r="R174" s="22"/>
    </row>
    <row r="175" customFormat="false" ht="15" hidden="false" customHeight="true" outlineLevel="0" collapsed="false">
      <c r="A175" s="19" t="str">
        <f aca="false">IF(D175="","",ROW()-1)</f>
        <v/>
      </c>
      <c r="B175" s="22"/>
      <c r="C175" s="22"/>
      <c r="D175" s="22"/>
      <c r="E175" s="22"/>
      <c r="F175" s="22"/>
      <c r="G175" s="9"/>
      <c r="H175" s="9"/>
      <c r="I175" s="22"/>
      <c r="J175" s="9"/>
      <c r="K175" s="11"/>
      <c r="L175" s="9"/>
      <c r="M175" s="22"/>
      <c r="N175" s="22"/>
      <c r="O175" s="22"/>
      <c r="P175" s="19" t="str">
        <f aca="false">IF(O175="","",IFERROR(INDEX(ライバル調査!$K:$K,MATCH(O175,ライバル調査!$B:$B,0)),"未調査"))</f>
        <v/>
      </c>
      <c r="Q175" s="22"/>
      <c r="R175" s="22"/>
    </row>
    <row r="176" customFormat="false" ht="15" hidden="false" customHeight="true" outlineLevel="0" collapsed="false">
      <c r="A176" s="19" t="str">
        <f aca="false">IF(D176="","",ROW()-1)</f>
        <v/>
      </c>
      <c r="B176" s="22"/>
      <c r="C176" s="22"/>
      <c r="D176" s="22"/>
      <c r="E176" s="22"/>
      <c r="F176" s="22"/>
      <c r="G176" s="9"/>
      <c r="H176" s="9"/>
      <c r="I176" s="22"/>
      <c r="J176" s="9"/>
      <c r="K176" s="11"/>
      <c r="L176" s="9"/>
      <c r="M176" s="22"/>
      <c r="N176" s="22"/>
      <c r="O176" s="22"/>
      <c r="P176" s="19" t="str">
        <f aca="false">IF(O176="","",IFERROR(INDEX(ライバル調査!$K:$K,MATCH(O176,ライバル調査!$B:$B,0)),"未調査"))</f>
        <v/>
      </c>
      <c r="Q176" s="22"/>
      <c r="R176" s="22"/>
    </row>
    <row r="177" customFormat="false" ht="15" hidden="false" customHeight="true" outlineLevel="0" collapsed="false">
      <c r="A177" s="19" t="str">
        <f aca="false">IF(D177="","",ROW()-1)</f>
        <v/>
      </c>
      <c r="B177" s="22"/>
      <c r="C177" s="22"/>
      <c r="D177" s="22"/>
      <c r="E177" s="22"/>
      <c r="F177" s="22"/>
      <c r="G177" s="9"/>
      <c r="H177" s="9"/>
      <c r="I177" s="22"/>
      <c r="J177" s="9"/>
      <c r="K177" s="11"/>
      <c r="L177" s="9"/>
      <c r="M177" s="22"/>
      <c r="N177" s="22"/>
      <c r="O177" s="22"/>
      <c r="P177" s="19" t="str">
        <f aca="false">IF(O177="","",IFERROR(INDEX(ライバル調査!$K:$K,MATCH(O177,ライバル調査!$B:$B,0)),"未調査"))</f>
        <v/>
      </c>
      <c r="Q177" s="22"/>
      <c r="R177" s="22"/>
    </row>
    <row r="178" customFormat="false" ht="15" hidden="false" customHeight="true" outlineLevel="0" collapsed="false">
      <c r="A178" s="19" t="str">
        <f aca="false">IF(D178="","",ROW()-1)</f>
        <v/>
      </c>
      <c r="B178" s="22"/>
      <c r="C178" s="22"/>
      <c r="D178" s="22"/>
      <c r="E178" s="22"/>
      <c r="F178" s="22"/>
      <c r="G178" s="9"/>
      <c r="H178" s="9"/>
      <c r="I178" s="22"/>
      <c r="J178" s="9"/>
      <c r="K178" s="11"/>
      <c r="L178" s="9"/>
      <c r="M178" s="22"/>
      <c r="N178" s="22"/>
      <c r="O178" s="22"/>
      <c r="P178" s="19" t="str">
        <f aca="false">IF(O178="","",IFERROR(INDEX(ライバル調査!$K:$K,MATCH(O178,ライバル調査!$B:$B,0)),"未調査"))</f>
        <v/>
      </c>
      <c r="Q178" s="22"/>
      <c r="R178" s="22"/>
    </row>
    <row r="179" customFormat="false" ht="15" hidden="false" customHeight="true" outlineLevel="0" collapsed="false">
      <c r="A179" s="19" t="str">
        <f aca="false">IF(D179="","",ROW()-1)</f>
        <v/>
      </c>
      <c r="B179" s="22"/>
      <c r="C179" s="22"/>
      <c r="D179" s="22"/>
      <c r="E179" s="22"/>
      <c r="F179" s="22"/>
      <c r="G179" s="9"/>
      <c r="H179" s="9"/>
      <c r="I179" s="22"/>
      <c r="J179" s="9"/>
      <c r="K179" s="11"/>
      <c r="L179" s="9"/>
      <c r="M179" s="22"/>
      <c r="N179" s="22"/>
      <c r="O179" s="22"/>
      <c r="P179" s="19" t="str">
        <f aca="false">IF(O179="","",IFERROR(INDEX(ライバル調査!$K:$K,MATCH(O179,ライバル調査!$B:$B,0)),"未調査"))</f>
        <v/>
      </c>
      <c r="Q179" s="22"/>
      <c r="R179" s="22"/>
    </row>
    <row r="180" customFormat="false" ht="15" hidden="false" customHeight="true" outlineLevel="0" collapsed="false">
      <c r="A180" s="19" t="str">
        <f aca="false">IF(D180="","",ROW()-1)</f>
        <v/>
      </c>
      <c r="B180" s="22"/>
      <c r="C180" s="22"/>
      <c r="D180" s="22"/>
      <c r="E180" s="22"/>
      <c r="F180" s="22"/>
      <c r="G180" s="9"/>
      <c r="H180" s="9"/>
      <c r="I180" s="22"/>
      <c r="J180" s="9"/>
      <c r="K180" s="11"/>
      <c r="L180" s="9"/>
      <c r="M180" s="22"/>
      <c r="N180" s="22"/>
      <c r="O180" s="22"/>
      <c r="P180" s="19" t="str">
        <f aca="false">IF(O180="","",IFERROR(INDEX(ライバル調査!$K:$K,MATCH(O180,ライバル調査!$B:$B,0)),"未調査"))</f>
        <v/>
      </c>
      <c r="Q180" s="22"/>
      <c r="R180" s="22"/>
    </row>
    <row r="181" customFormat="false" ht="15" hidden="false" customHeight="true" outlineLevel="0" collapsed="false">
      <c r="A181" s="19" t="str">
        <f aca="false">IF(D181="","",ROW()-1)</f>
        <v/>
      </c>
      <c r="B181" s="22"/>
      <c r="C181" s="22"/>
      <c r="D181" s="22"/>
      <c r="E181" s="22"/>
      <c r="F181" s="22"/>
      <c r="G181" s="9"/>
      <c r="H181" s="9"/>
      <c r="I181" s="22"/>
      <c r="J181" s="9"/>
      <c r="K181" s="11"/>
      <c r="L181" s="9"/>
      <c r="M181" s="22"/>
      <c r="N181" s="22"/>
      <c r="O181" s="22"/>
      <c r="P181" s="19" t="str">
        <f aca="false">IF(O181="","",IFERROR(INDEX(ライバル調査!$K:$K,MATCH(O181,ライバル調査!$B:$B,0)),"未調査"))</f>
        <v/>
      </c>
      <c r="Q181" s="22"/>
      <c r="R181" s="22"/>
    </row>
    <row r="182" customFormat="false" ht="15" hidden="false" customHeight="true" outlineLevel="0" collapsed="false">
      <c r="A182" s="19" t="str">
        <f aca="false">IF(D182="","",ROW()-1)</f>
        <v/>
      </c>
      <c r="B182" s="22"/>
      <c r="C182" s="22"/>
      <c r="D182" s="22"/>
      <c r="E182" s="22"/>
      <c r="F182" s="22"/>
      <c r="G182" s="9"/>
      <c r="H182" s="9"/>
      <c r="I182" s="22"/>
      <c r="J182" s="9"/>
      <c r="K182" s="11"/>
      <c r="L182" s="9"/>
      <c r="M182" s="22"/>
      <c r="N182" s="22"/>
      <c r="O182" s="22"/>
      <c r="P182" s="19" t="str">
        <f aca="false">IF(O182="","",IFERROR(INDEX(ライバル調査!$K:$K,MATCH(O182,ライバル調査!$B:$B,0)),"未調査"))</f>
        <v/>
      </c>
      <c r="Q182" s="22"/>
      <c r="R182" s="22"/>
    </row>
    <row r="183" customFormat="false" ht="15" hidden="false" customHeight="true" outlineLevel="0" collapsed="false">
      <c r="A183" s="19" t="str">
        <f aca="false">IF(D183="","",ROW()-1)</f>
        <v/>
      </c>
      <c r="B183" s="22"/>
      <c r="C183" s="22"/>
      <c r="D183" s="22"/>
      <c r="E183" s="22"/>
      <c r="F183" s="22"/>
      <c r="G183" s="9"/>
      <c r="H183" s="9"/>
      <c r="I183" s="22"/>
      <c r="J183" s="9"/>
      <c r="K183" s="11"/>
      <c r="L183" s="9"/>
      <c r="M183" s="22"/>
      <c r="N183" s="22"/>
      <c r="O183" s="22"/>
      <c r="P183" s="19" t="str">
        <f aca="false">IF(O183="","",IFERROR(INDEX(ライバル調査!$K:$K,MATCH(O183,ライバル調査!$B:$B,0)),"未調査"))</f>
        <v/>
      </c>
      <c r="Q183" s="22"/>
      <c r="R183" s="22"/>
    </row>
    <row r="184" customFormat="false" ht="15" hidden="false" customHeight="true" outlineLevel="0" collapsed="false">
      <c r="A184" s="19" t="str">
        <f aca="false">IF(D184="","",ROW()-1)</f>
        <v/>
      </c>
      <c r="B184" s="22"/>
      <c r="C184" s="22"/>
      <c r="D184" s="22"/>
      <c r="E184" s="22"/>
      <c r="F184" s="22"/>
      <c r="G184" s="9"/>
      <c r="H184" s="9"/>
      <c r="I184" s="22"/>
      <c r="J184" s="9"/>
      <c r="K184" s="11"/>
      <c r="L184" s="9"/>
      <c r="M184" s="22"/>
      <c r="N184" s="22"/>
      <c r="O184" s="22"/>
      <c r="P184" s="19" t="str">
        <f aca="false">IF(O184="","",IFERROR(INDEX(ライバル調査!$K:$K,MATCH(O184,ライバル調査!$B:$B,0)),"未調査"))</f>
        <v/>
      </c>
      <c r="Q184" s="22"/>
      <c r="R184" s="22"/>
    </row>
    <row r="185" customFormat="false" ht="15" hidden="false" customHeight="true" outlineLevel="0" collapsed="false">
      <c r="A185" s="19" t="str">
        <f aca="false">IF(D185="","",ROW()-1)</f>
        <v/>
      </c>
      <c r="B185" s="22"/>
      <c r="C185" s="22"/>
      <c r="D185" s="22"/>
      <c r="E185" s="22"/>
      <c r="F185" s="22"/>
      <c r="G185" s="9"/>
      <c r="H185" s="9"/>
      <c r="I185" s="22"/>
      <c r="J185" s="9"/>
      <c r="K185" s="11"/>
      <c r="L185" s="9"/>
      <c r="M185" s="22"/>
      <c r="N185" s="22"/>
      <c r="O185" s="22"/>
      <c r="P185" s="19" t="str">
        <f aca="false">IF(O185="","",IFERROR(INDEX(ライバル調査!$K:$K,MATCH(O185,ライバル調査!$B:$B,0)),"未調査"))</f>
        <v/>
      </c>
      <c r="Q185" s="22"/>
      <c r="R185" s="22"/>
    </row>
    <row r="186" customFormat="false" ht="15" hidden="false" customHeight="true" outlineLevel="0" collapsed="false">
      <c r="A186" s="19" t="str">
        <f aca="false">IF(D186="","",ROW()-1)</f>
        <v/>
      </c>
      <c r="B186" s="22"/>
      <c r="C186" s="22"/>
      <c r="D186" s="22"/>
      <c r="E186" s="22"/>
      <c r="F186" s="22"/>
      <c r="G186" s="9"/>
      <c r="H186" s="9"/>
      <c r="I186" s="22"/>
      <c r="J186" s="9"/>
      <c r="K186" s="11"/>
      <c r="L186" s="9"/>
      <c r="M186" s="22"/>
      <c r="N186" s="22"/>
      <c r="O186" s="22"/>
      <c r="P186" s="19" t="str">
        <f aca="false">IF(O186="","",IFERROR(INDEX(ライバル調査!$K:$K,MATCH(O186,ライバル調査!$B:$B,0)),"未調査"))</f>
        <v/>
      </c>
      <c r="Q186" s="22"/>
      <c r="R186" s="22"/>
    </row>
    <row r="187" customFormat="false" ht="15" hidden="false" customHeight="true" outlineLevel="0" collapsed="false">
      <c r="A187" s="19" t="str">
        <f aca="false">IF(D187="","",ROW()-1)</f>
        <v/>
      </c>
      <c r="B187" s="22"/>
      <c r="C187" s="22"/>
      <c r="D187" s="22"/>
      <c r="E187" s="22"/>
      <c r="F187" s="22"/>
      <c r="G187" s="9"/>
      <c r="H187" s="9"/>
      <c r="I187" s="22"/>
      <c r="J187" s="9"/>
      <c r="K187" s="11"/>
      <c r="L187" s="9"/>
      <c r="M187" s="22"/>
      <c r="N187" s="22"/>
      <c r="O187" s="22"/>
      <c r="P187" s="19" t="str">
        <f aca="false">IF(O187="","",IFERROR(INDEX(ライバル調査!$K:$K,MATCH(O187,ライバル調査!$B:$B,0)),"未調査"))</f>
        <v/>
      </c>
      <c r="Q187" s="22"/>
      <c r="R187" s="22"/>
    </row>
    <row r="188" customFormat="false" ht="15" hidden="false" customHeight="true" outlineLevel="0" collapsed="false">
      <c r="A188" s="19" t="str">
        <f aca="false">IF(D188="","",ROW()-1)</f>
        <v/>
      </c>
      <c r="B188" s="22"/>
      <c r="C188" s="22"/>
      <c r="D188" s="22"/>
      <c r="E188" s="22"/>
      <c r="F188" s="22"/>
      <c r="G188" s="9"/>
      <c r="H188" s="9"/>
      <c r="I188" s="22"/>
      <c r="J188" s="9"/>
      <c r="K188" s="11"/>
      <c r="L188" s="9"/>
      <c r="M188" s="22"/>
      <c r="N188" s="22"/>
      <c r="O188" s="22"/>
      <c r="P188" s="19" t="str">
        <f aca="false">IF(O188="","",IFERROR(INDEX(ライバル調査!$K:$K,MATCH(O188,ライバル調査!$B:$B,0)),"未調査"))</f>
        <v/>
      </c>
      <c r="Q188" s="22"/>
      <c r="R188" s="22"/>
    </row>
    <row r="189" customFormat="false" ht="15" hidden="false" customHeight="true" outlineLevel="0" collapsed="false">
      <c r="A189" s="19" t="str">
        <f aca="false">IF(D189="","",ROW()-1)</f>
        <v/>
      </c>
      <c r="B189" s="22"/>
      <c r="C189" s="22"/>
      <c r="D189" s="22"/>
      <c r="E189" s="22"/>
      <c r="F189" s="22"/>
      <c r="G189" s="9"/>
      <c r="H189" s="9"/>
      <c r="I189" s="22"/>
      <c r="J189" s="9"/>
      <c r="K189" s="11"/>
      <c r="L189" s="9"/>
      <c r="M189" s="22"/>
      <c r="N189" s="22"/>
      <c r="O189" s="22"/>
      <c r="P189" s="19" t="str">
        <f aca="false">IF(O189="","",IFERROR(INDEX(ライバル調査!$K:$K,MATCH(O189,ライバル調査!$B:$B,0)),"未調査"))</f>
        <v/>
      </c>
      <c r="Q189" s="22"/>
      <c r="R189" s="22"/>
    </row>
    <row r="190" customFormat="false" ht="15" hidden="false" customHeight="true" outlineLevel="0" collapsed="false">
      <c r="A190" s="19" t="str">
        <f aca="false">IF(D190="","",ROW()-1)</f>
        <v/>
      </c>
      <c r="B190" s="22"/>
      <c r="C190" s="22"/>
      <c r="D190" s="22"/>
      <c r="E190" s="22"/>
      <c r="F190" s="22"/>
      <c r="G190" s="9"/>
      <c r="H190" s="9"/>
      <c r="I190" s="22"/>
      <c r="J190" s="9"/>
      <c r="K190" s="11"/>
      <c r="L190" s="9"/>
      <c r="M190" s="22"/>
      <c r="N190" s="22"/>
      <c r="O190" s="22"/>
      <c r="P190" s="19" t="str">
        <f aca="false">IF(O190="","",IFERROR(INDEX(ライバル調査!$K:$K,MATCH(O190,ライバル調査!$B:$B,0)),"未調査"))</f>
        <v/>
      </c>
      <c r="Q190" s="22"/>
      <c r="R190" s="22"/>
    </row>
    <row r="191" customFormat="false" ht="15" hidden="false" customHeight="true" outlineLevel="0" collapsed="false">
      <c r="A191" s="19" t="str">
        <f aca="false">IF(D191="","",ROW()-1)</f>
        <v/>
      </c>
      <c r="B191" s="22"/>
      <c r="C191" s="22"/>
      <c r="D191" s="22"/>
      <c r="E191" s="22"/>
      <c r="F191" s="22"/>
      <c r="G191" s="9"/>
      <c r="H191" s="9"/>
      <c r="I191" s="22"/>
      <c r="J191" s="9"/>
      <c r="K191" s="11"/>
      <c r="L191" s="9"/>
      <c r="M191" s="22"/>
      <c r="N191" s="22"/>
      <c r="O191" s="22"/>
      <c r="P191" s="19" t="str">
        <f aca="false">IF(O191="","",IFERROR(INDEX(ライバル調査!$K:$K,MATCH(O191,ライバル調査!$B:$B,0)),"未調査"))</f>
        <v/>
      </c>
      <c r="Q191" s="22"/>
      <c r="R191" s="22"/>
    </row>
    <row r="192" customFormat="false" ht="15" hidden="false" customHeight="true" outlineLevel="0" collapsed="false">
      <c r="A192" s="19" t="str">
        <f aca="false">IF(D192="","",ROW()-1)</f>
        <v/>
      </c>
      <c r="B192" s="22"/>
      <c r="C192" s="22"/>
      <c r="D192" s="22"/>
      <c r="E192" s="22"/>
      <c r="F192" s="22"/>
      <c r="G192" s="9"/>
      <c r="H192" s="9"/>
      <c r="I192" s="22"/>
      <c r="J192" s="9"/>
      <c r="K192" s="11"/>
      <c r="L192" s="9"/>
      <c r="M192" s="22"/>
      <c r="N192" s="22"/>
      <c r="O192" s="22"/>
      <c r="P192" s="19" t="str">
        <f aca="false">IF(O192="","",IFERROR(INDEX(ライバル調査!$K:$K,MATCH(O192,ライバル調査!$B:$B,0)),"未調査"))</f>
        <v/>
      </c>
      <c r="Q192" s="22"/>
      <c r="R192" s="22"/>
    </row>
    <row r="193" customFormat="false" ht="15" hidden="false" customHeight="true" outlineLevel="0" collapsed="false">
      <c r="A193" s="19" t="str">
        <f aca="false">IF(D193="","",ROW()-1)</f>
        <v/>
      </c>
      <c r="B193" s="22"/>
      <c r="C193" s="22"/>
      <c r="D193" s="22"/>
      <c r="E193" s="22"/>
      <c r="F193" s="22"/>
      <c r="G193" s="9"/>
      <c r="H193" s="9"/>
      <c r="I193" s="22"/>
      <c r="J193" s="9"/>
      <c r="K193" s="11"/>
      <c r="L193" s="9"/>
      <c r="M193" s="22"/>
      <c r="N193" s="22"/>
      <c r="O193" s="22"/>
      <c r="P193" s="19" t="str">
        <f aca="false">IF(O193="","",IFERROR(INDEX(ライバル調査!$K:$K,MATCH(O193,ライバル調査!$B:$B,0)),"未調査"))</f>
        <v/>
      </c>
      <c r="Q193" s="22"/>
      <c r="R193" s="22"/>
    </row>
    <row r="194" customFormat="false" ht="15" hidden="false" customHeight="true" outlineLevel="0" collapsed="false">
      <c r="A194" s="19" t="str">
        <f aca="false">IF(D194="","",ROW()-1)</f>
        <v/>
      </c>
      <c r="B194" s="22"/>
      <c r="C194" s="22"/>
      <c r="D194" s="22"/>
      <c r="E194" s="22"/>
      <c r="F194" s="22"/>
      <c r="G194" s="9"/>
      <c r="H194" s="9"/>
      <c r="I194" s="22"/>
      <c r="J194" s="9"/>
      <c r="K194" s="11"/>
      <c r="L194" s="9"/>
      <c r="M194" s="22"/>
      <c r="N194" s="22"/>
      <c r="O194" s="22"/>
      <c r="P194" s="19" t="str">
        <f aca="false">IF(O194="","",IFERROR(INDEX(ライバル調査!$K:$K,MATCH(O194,ライバル調査!$B:$B,0)),"未調査"))</f>
        <v/>
      </c>
      <c r="Q194" s="22"/>
      <c r="R194" s="22"/>
    </row>
    <row r="195" customFormat="false" ht="15" hidden="false" customHeight="true" outlineLevel="0" collapsed="false">
      <c r="A195" s="19" t="str">
        <f aca="false">IF(D195="","",ROW()-1)</f>
        <v/>
      </c>
      <c r="B195" s="22"/>
      <c r="C195" s="22"/>
      <c r="D195" s="22"/>
      <c r="E195" s="22"/>
      <c r="F195" s="22"/>
      <c r="G195" s="9"/>
      <c r="H195" s="9"/>
      <c r="I195" s="22"/>
      <c r="J195" s="9"/>
      <c r="K195" s="11"/>
      <c r="L195" s="9"/>
      <c r="M195" s="22"/>
      <c r="N195" s="22"/>
      <c r="O195" s="22"/>
      <c r="P195" s="19" t="str">
        <f aca="false">IF(O195="","",IFERROR(INDEX(ライバル調査!$K:$K,MATCH(O195,ライバル調査!$B:$B,0)),"未調査"))</f>
        <v/>
      </c>
      <c r="Q195" s="22"/>
      <c r="R195" s="22"/>
    </row>
    <row r="196" customFormat="false" ht="15" hidden="false" customHeight="true" outlineLevel="0" collapsed="false">
      <c r="A196" s="19" t="str">
        <f aca="false">IF(D196="","",ROW()-1)</f>
        <v/>
      </c>
      <c r="B196" s="22"/>
      <c r="C196" s="22"/>
      <c r="D196" s="22"/>
      <c r="E196" s="22"/>
      <c r="F196" s="22"/>
      <c r="G196" s="9"/>
      <c r="H196" s="9"/>
      <c r="I196" s="22"/>
      <c r="J196" s="9"/>
      <c r="K196" s="11"/>
      <c r="L196" s="9"/>
      <c r="M196" s="22"/>
      <c r="N196" s="22"/>
      <c r="O196" s="22"/>
      <c r="P196" s="19" t="str">
        <f aca="false">IF(O196="","",IFERROR(INDEX(ライバル調査!$K:$K,MATCH(O196,ライバル調査!$B:$B,0)),"未調査"))</f>
        <v/>
      </c>
      <c r="Q196" s="22"/>
      <c r="R196" s="22"/>
    </row>
    <row r="197" customFormat="false" ht="15" hidden="false" customHeight="true" outlineLevel="0" collapsed="false">
      <c r="A197" s="19" t="str">
        <f aca="false">IF(D197="","",ROW()-1)</f>
        <v/>
      </c>
      <c r="B197" s="22"/>
      <c r="C197" s="22"/>
      <c r="D197" s="22"/>
      <c r="E197" s="22"/>
      <c r="F197" s="22"/>
      <c r="G197" s="9"/>
      <c r="H197" s="9"/>
      <c r="I197" s="22"/>
      <c r="J197" s="9"/>
      <c r="K197" s="11"/>
      <c r="L197" s="9"/>
      <c r="M197" s="22"/>
      <c r="N197" s="22"/>
      <c r="O197" s="22"/>
      <c r="P197" s="19" t="str">
        <f aca="false">IF(O197="","",IFERROR(INDEX(ライバル調査!$K:$K,MATCH(O197,ライバル調査!$B:$B,0)),"未調査"))</f>
        <v/>
      </c>
      <c r="Q197" s="22"/>
      <c r="R197" s="22"/>
    </row>
    <row r="198" customFormat="false" ht="15" hidden="false" customHeight="true" outlineLevel="0" collapsed="false">
      <c r="A198" s="19" t="str">
        <f aca="false">IF(D198="","",ROW()-1)</f>
        <v/>
      </c>
      <c r="B198" s="22"/>
      <c r="C198" s="22"/>
      <c r="D198" s="22"/>
      <c r="E198" s="22"/>
      <c r="F198" s="22"/>
      <c r="G198" s="9"/>
      <c r="H198" s="9"/>
      <c r="I198" s="22"/>
      <c r="J198" s="9"/>
      <c r="K198" s="11"/>
      <c r="L198" s="9"/>
      <c r="M198" s="22"/>
      <c r="N198" s="22"/>
      <c r="O198" s="22"/>
      <c r="P198" s="19" t="str">
        <f aca="false">IF(O198="","",IFERROR(INDEX(ライバル調査!$K:$K,MATCH(O198,ライバル調査!$B:$B,0)),"未調査"))</f>
        <v/>
      </c>
      <c r="Q198" s="22"/>
      <c r="R198" s="22"/>
    </row>
    <row r="199" customFormat="false" ht="15" hidden="false" customHeight="true" outlineLevel="0" collapsed="false">
      <c r="A199" s="19" t="str">
        <f aca="false">IF(D199="","",ROW()-1)</f>
        <v/>
      </c>
      <c r="B199" s="22"/>
      <c r="C199" s="22"/>
      <c r="D199" s="22"/>
      <c r="E199" s="22"/>
      <c r="F199" s="22"/>
      <c r="G199" s="9"/>
      <c r="H199" s="9"/>
      <c r="I199" s="22"/>
      <c r="J199" s="9"/>
      <c r="K199" s="11"/>
      <c r="L199" s="9"/>
      <c r="M199" s="22"/>
      <c r="N199" s="22"/>
      <c r="O199" s="22"/>
      <c r="P199" s="19" t="str">
        <f aca="false">IF(O199="","",IFERROR(INDEX(ライバル調査!$K:$K,MATCH(O199,ライバル調査!$B:$B,0)),"未調査"))</f>
        <v/>
      </c>
      <c r="Q199" s="22"/>
      <c r="R199" s="22"/>
    </row>
    <row r="200" customFormat="false" ht="15" hidden="false" customHeight="true" outlineLevel="0" collapsed="false">
      <c r="A200" s="19" t="str">
        <f aca="false">IF(D200="","",ROW()-1)</f>
        <v/>
      </c>
      <c r="B200" s="22"/>
      <c r="C200" s="22"/>
      <c r="D200" s="22"/>
      <c r="E200" s="22"/>
      <c r="F200" s="22"/>
      <c r="G200" s="9"/>
      <c r="H200" s="9"/>
      <c r="I200" s="22"/>
      <c r="J200" s="9"/>
      <c r="K200" s="11"/>
      <c r="L200" s="9"/>
      <c r="M200" s="22"/>
      <c r="N200" s="22"/>
      <c r="O200" s="22"/>
      <c r="P200" s="19" t="str">
        <f aca="false">IF(O200="","",IFERROR(INDEX(ライバル調査!$K:$K,MATCH(O200,ライバル調査!$B:$B,0)),"未調査"))</f>
        <v/>
      </c>
      <c r="Q200" s="22"/>
      <c r="R200" s="22"/>
    </row>
    <row r="201" customFormat="false" ht="15" hidden="false" customHeight="true" outlineLevel="0" collapsed="false">
      <c r="A201" s="19" t="str">
        <f aca="false">IF(D201="","",ROW()-1)</f>
        <v/>
      </c>
      <c r="B201" s="22"/>
      <c r="C201" s="22"/>
      <c r="D201" s="22"/>
      <c r="E201" s="22"/>
      <c r="F201" s="22"/>
      <c r="G201" s="9"/>
      <c r="H201" s="9"/>
      <c r="I201" s="22"/>
      <c r="J201" s="9"/>
      <c r="K201" s="11"/>
      <c r="L201" s="9"/>
      <c r="M201" s="22"/>
      <c r="N201" s="22"/>
      <c r="O201" s="22"/>
      <c r="P201" s="19" t="str">
        <f aca="false">IF(O201="","",IFERROR(INDEX(ライバル調査!$K:$K,MATCH(O201,ライバル調査!$B:$B,0)),"未調査"))</f>
        <v/>
      </c>
      <c r="Q201" s="22"/>
      <c r="R201" s="22"/>
    </row>
  </sheetData>
  <autoFilter ref="A1:R201"/>
  <dataValidations count="1">
    <dataValidation allowBlank="true" errorStyle="stop" operator="between" showDropDown="false" showErrorMessage="false" showInputMessage="false" sqref="Q2:Q201" type="list">
      <formula1>"採用,保留,見送り"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"/>
    <col collapsed="false" customWidth="true" hidden="false" outlineLevel="0" max="3" min="3" style="1" width="13"/>
    <col collapsed="false" customWidth="true" hidden="false" outlineLevel="0" max="4" min="4" style="1" width="26"/>
    <col collapsed="false" customWidth="true" hidden="false" outlineLevel="0" max="6" min="5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30"/>
  </cols>
  <sheetData>
    <row r="1" customFormat="false" ht="36" hidden="false" customHeight="true" outlineLevel="0" collapsed="false">
      <c r="A1" s="18" t="s">
        <v>62</v>
      </c>
      <c r="B1" s="18" t="s">
        <v>418</v>
      </c>
      <c r="C1" s="17" t="s">
        <v>329</v>
      </c>
      <c r="D1" s="18" t="s">
        <v>328</v>
      </c>
      <c r="E1" s="18" t="s">
        <v>331</v>
      </c>
      <c r="F1" s="18" t="s">
        <v>334</v>
      </c>
      <c r="G1" s="18" t="s">
        <v>336</v>
      </c>
      <c r="H1" s="18" t="s">
        <v>115</v>
      </c>
      <c r="I1" s="18" t="s">
        <v>69</v>
      </c>
    </row>
    <row r="2" customFormat="false" ht="15" hidden="false" customHeight="true" outlineLevel="0" collapsed="false">
      <c r="A2" s="20" t="s">
        <v>70</v>
      </c>
      <c r="B2" s="22" t="n">
        <v>1</v>
      </c>
      <c r="C2" s="22" t="s">
        <v>395</v>
      </c>
      <c r="D2" s="22" t="s">
        <v>419</v>
      </c>
      <c r="E2" s="9" t="n">
        <v>999</v>
      </c>
      <c r="F2" s="9" t="n">
        <v>202</v>
      </c>
      <c r="G2" s="9" t="n">
        <v>86</v>
      </c>
      <c r="H2" s="20" t="s">
        <v>127</v>
      </c>
      <c r="I2" s="20" t="s">
        <v>420</v>
      </c>
    </row>
    <row r="3" customFormat="false" ht="15" hidden="false" customHeight="true" outlineLevel="0" collapsed="false">
      <c r="A3" s="20" t="s">
        <v>70</v>
      </c>
      <c r="B3" s="22" t="n">
        <v>2</v>
      </c>
      <c r="C3" s="22" t="s">
        <v>369</v>
      </c>
      <c r="D3" s="22" t="s">
        <v>421</v>
      </c>
      <c r="E3" s="9" t="n">
        <v>999</v>
      </c>
      <c r="F3" s="9" t="n">
        <v>972</v>
      </c>
      <c r="G3" s="9" t="n">
        <v>198</v>
      </c>
      <c r="H3" s="20" t="s">
        <v>127</v>
      </c>
      <c r="I3" s="20" t="s">
        <v>422</v>
      </c>
    </row>
    <row r="4" customFormat="false" ht="15" hidden="false" customHeight="true" outlineLevel="0" collapsed="false">
      <c r="A4" s="20" t="s">
        <v>70</v>
      </c>
      <c r="B4" s="22" t="n">
        <v>3</v>
      </c>
      <c r="C4" s="22" t="s">
        <v>343</v>
      </c>
      <c r="D4" s="22" t="s">
        <v>423</v>
      </c>
      <c r="E4" s="9" t="n">
        <v>1880</v>
      </c>
      <c r="F4" s="9" t="n">
        <v>1437</v>
      </c>
      <c r="G4" s="9" t="n">
        <v>618</v>
      </c>
      <c r="H4" s="20" t="s">
        <v>127</v>
      </c>
      <c r="I4" s="20" t="s">
        <v>424</v>
      </c>
    </row>
    <row r="5" customFormat="false" ht="15" hidden="false" customHeight="true" outlineLevel="0" collapsed="false">
      <c r="A5" s="20" t="s">
        <v>70</v>
      </c>
      <c r="B5" s="22" t="n">
        <v>4</v>
      </c>
      <c r="C5" s="22" t="s">
        <v>386</v>
      </c>
      <c r="D5" s="22" t="s">
        <v>425</v>
      </c>
      <c r="E5" s="9" t="n">
        <v>1280</v>
      </c>
      <c r="F5" s="9" t="n">
        <v>15</v>
      </c>
      <c r="G5" s="9" t="n">
        <v>127</v>
      </c>
      <c r="H5" s="20" t="s">
        <v>127</v>
      </c>
      <c r="I5" s="20" t="s">
        <v>426</v>
      </c>
    </row>
    <row r="6" customFormat="false" ht="15" hidden="false" customHeight="true" outlineLevel="0" collapsed="false">
      <c r="A6" s="20" t="s">
        <v>70</v>
      </c>
      <c r="B6" s="22" t="n">
        <v>5</v>
      </c>
      <c r="C6" s="22" t="s">
        <v>373</v>
      </c>
      <c r="D6" s="22" t="s">
        <v>427</v>
      </c>
      <c r="E6" s="9" t="n">
        <v>1280</v>
      </c>
      <c r="F6" s="9" t="n">
        <v>368</v>
      </c>
      <c r="G6" s="9" t="n">
        <v>197</v>
      </c>
      <c r="H6" s="20" t="s">
        <v>127</v>
      </c>
      <c r="I6" s="20" t="s">
        <v>428</v>
      </c>
    </row>
    <row r="7" customFormat="false" ht="15" hidden="false" customHeight="true" outlineLevel="0" collapsed="false">
      <c r="A7" s="20" t="s">
        <v>70</v>
      </c>
      <c r="B7" s="22" t="n">
        <v>6</v>
      </c>
      <c r="C7" s="22" t="s">
        <v>364</v>
      </c>
      <c r="D7" s="22" t="s">
        <v>429</v>
      </c>
      <c r="E7" s="9" t="n">
        <v>1580</v>
      </c>
      <c r="F7" s="9" t="n">
        <v>192</v>
      </c>
      <c r="G7" s="9" t="n">
        <v>242</v>
      </c>
      <c r="H7" s="20" t="s">
        <v>127</v>
      </c>
      <c r="I7" s="20" t="s">
        <v>430</v>
      </c>
    </row>
    <row r="8" customFormat="false" ht="15" hidden="false" customHeight="true" outlineLevel="0" collapsed="false">
      <c r="A8" s="20" t="s">
        <v>70</v>
      </c>
      <c r="B8" s="22" t="n">
        <v>7</v>
      </c>
      <c r="C8" s="22" t="s">
        <v>431</v>
      </c>
      <c r="D8" s="22" t="s">
        <v>432</v>
      </c>
      <c r="E8" s="9" t="n">
        <v>1780</v>
      </c>
      <c r="F8" s="9" t="n">
        <v>261</v>
      </c>
      <c r="G8" s="9"/>
      <c r="H8" s="20" t="s">
        <v>127</v>
      </c>
      <c r="I8" s="20" t="s">
        <v>433</v>
      </c>
    </row>
    <row r="9" customFormat="false" ht="15" hidden="false" customHeight="true" outlineLevel="0" collapsed="false">
      <c r="A9" s="20" t="s">
        <v>70</v>
      </c>
      <c r="B9" s="22" t="n">
        <v>8</v>
      </c>
      <c r="C9" s="22" t="s">
        <v>381</v>
      </c>
      <c r="D9" s="22" t="s">
        <v>434</v>
      </c>
      <c r="E9" s="9" t="n">
        <v>999</v>
      </c>
      <c r="F9" s="9" t="n">
        <v>102</v>
      </c>
      <c r="G9" s="9" t="n">
        <v>153</v>
      </c>
      <c r="H9" s="20" t="s">
        <v>127</v>
      </c>
      <c r="I9" s="20" t="s">
        <v>435</v>
      </c>
    </row>
    <row r="10" customFormat="false" ht="15" hidden="false" customHeight="true" outlineLevel="0" collapsed="false">
      <c r="A10" s="20" t="s">
        <v>70</v>
      </c>
      <c r="B10" s="22" t="n">
        <v>9</v>
      </c>
      <c r="C10" s="22" t="s">
        <v>411</v>
      </c>
      <c r="D10" s="22" t="s">
        <v>436</v>
      </c>
      <c r="E10" s="9" t="n">
        <v>2080</v>
      </c>
      <c r="F10" s="9" t="n">
        <v>34</v>
      </c>
      <c r="G10" s="9" t="n">
        <v>64</v>
      </c>
      <c r="H10" s="20" t="s">
        <v>127</v>
      </c>
      <c r="I10" s="20" t="s">
        <v>437</v>
      </c>
    </row>
    <row r="11" customFormat="false" ht="15" hidden="false" customHeight="true" outlineLevel="0" collapsed="false">
      <c r="A11" s="20" t="s">
        <v>70</v>
      </c>
      <c r="B11" s="22" t="n">
        <v>10</v>
      </c>
      <c r="C11" s="22" t="s">
        <v>438</v>
      </c>
      <c r="D11" s="22" t="s">
        <v>439</v>
      </c>
      <c r="E11" s="9" t="n">
        <v>1380</v>
      </c>
      <c r="F11" s="9"/>
      <c r="G11" s="9"/>
      <c r="H11" s="20" t="s">
        <v>287</v>
      </c>
      <c r="I11" s="20" t="s">
        <v>440</v>
      </c>
    </row>
    <row r="12" customFormat="false" ht="15" hidden="false" customHeight="true" outlineLevel="0" collapsed="false">
      <c r="A12" s="22"/>
      <c r="B12" s="22"/>
      <c r="C12" s="22"/>
      <c r="D12" s="22"/>
      <c r="E12" s="9"/>
      <c r="F12" s="9"/>
      <c r="G12" s="9"/>
      <c r="H12" s="20"/>
      <c r="I12" s="22"/>
    </row>
    <row r="13" customFormat="false" ht="15" hidden="false" customHeight="true" outlineLevel="0" collapsed="false">
      <c r="A13" s="22"/>
      <c r="B13" s="22"/>
      <c r="C13" s="22"/>
      <c r="D13" s="22"/>
      <c r="E13" s="9"/>
      <c r="F13" s="9"/>
      <c r="G13" s="9"/>
      <c r="H13" s="20"/>
      <c r="I13" s="22"/>
    </row>
    <row r="14" customFormat="false" ht="15" hidden="false" customHeight="true" outlineLevel="0" collapsed="false">
      <c r="A14" s="22"/>
      <c r="B14" s="22"/>
      <c r="C14" s="22"/>
      <c r="D14" s="22"/>
      <c r="E14" s="9"/>
      <c r="F14" s="9"/>
      <c r="G14" s="9"/>
      <c r="H14" s="20"/>
      <c r="I14" s="22"/>
    </row>
    <row r="15" customFormat="false" ht="15" hidden="false" customHeight="true" outlineLevel="0" collapsed="false">
      <c r="A15" s="22"/>
      <c r="B15" s="22"/>
      <c r="C15" s="22"/>
      <c r="D15" s="22"/>
      <c r="E15" s="9"/>
      <c r="F15" s="9"/>
      <c r="G15" s="9"/>
      <c r="H15" s="20"/>
      <c r="I15" s="22"/>
    </row>
    <row r="16" customFormat="false" ht="15" hidden="false" customHeight="true" outlineLevel="0" collapsed="false">
      <c r="A16" s="22"/>
      <c r="B16" s="22"/>
      <c r="C16" s="22"/>
      <c r="D16" s="22"/>
      <c r="E16" s="9"/>
      <c r="F16" s="9"/>
      <c r="G16" s="9"/>
      <c r="H16" s="20"/>
      <c r="I16" s="22"/>
    </row>
    <row r="17" customFormat="false" ht="15" hidden="false" customHeight="true" outlineLevel="0" collapsed="false">
      <c r="A17" s="22"/>
      <c r="B17" s="22"/>
      <c r="C17" s="22"/>
      <c r="D17" s="22"/>
      <c r="E17" s="9"/>
      <c r="F17" s="9"/>
      <c r="G17" s="9"/>
      <c r="H17" s="20"/>
      <c r="I17" s="22"/>
    </row>
    <row r="18" customFormat="false" ht="15" hidden="false" customHeight="true" outlineLevel="0" collapsed="false">
      <c r="A18" s="22"/>
      <c r="B18" s="22"/>
      <c r="C18" s="22"/>
      <c r="D18" s="22"/>
      <c r="E18" s="9"/>
      <c r="F18" s="9"/>
      <c r="G18" s="9"/>
      <c r="H18" s="20"/>
      <c r="I18" s="22"/>
    </row>
    <row r="19" customFormat="false" ht="15" hidden="false" customHeight="true" outlineLevel="0" collapsed="false">
      <c r="A19" s="22"/>
      <c r="B19" s="22"/>
      <c r="C19" s="22"/>
      <c r="D19" s="22"/>
      <c r="E19" s="9"/>
      <c r="F19" s="9"/>
      <c r="G19" s="9"/>
      <c r="H19" s="20"/>
      <c r="I19" s="22"/>
    </row>
    <row r="20" customFormat="false" ht="15" hidden="false" customHeight="true" outlineLevel="0" collapsed="false">
      <c r="A20" s="22"/>
      <c r="B20" s="22"/>
      <c r="C20" s="22"/>
      <c r="D20" s="22"/>
      <c r="E20" s="9"/>
      <c r="F20" s="9"/>
      <c r="G20" s="9"/>
      <c r="H20" s="20"/>
      <c r="I20" s="22"/>
    </row>
    <row r="21" customFormat="false" ht="15" hidden="false" customHeight="true" outlineLevel="0" collapsed="false">
      <c r="A21" s="22"/>
      <c r="B21" s="22"/>
      <c r="C21" s="22"/>
      <c r="D21" s="22"/>
      <c r="E21" s="9"/>
      <c r="F21" s="9"/>
      <c r="G21" s="9"/>
      <c r="H21" s="20"/>
      <c r="I21" s="22"/>
    </row>
    <row r="22" customFormat="false" ht="15" hidden="false" customHeight="true" outlineLevel="0" collapsed="false">
      <c r="A22" s="22"/>
      <c r="B22" s="22"/>
      <c r="C22" s="22"/>
      <c r="D22" s="22"/>
      <c r="E22" s="9"/>
      <c r="F22" s="9"/>
      <c r="G22" s="9"/>
      <c r="H22" s="20"/>
      <c r="I22" s="22"/>
    </row>
    <row r="23" customFormat="false" ht="15" hidden="false" customHeight="true" outlineLevel="0" collapsed="false">
      <c r="A23" s="22"/>
      <c r="B23" s="22"/>
      <c r="C23" s="22"/>
      <c r="D23" s="22"/>
      <c r="E23" s="9"/>
      <c r="F23" s="9"/>
      <c r="G23" s="9"/>
      <c r="H23" s="20"/>
      <c r="I23" s="22"/>
    </row>
    <row r="24" customFormat="false" ht="15" hidden="false" customHeight="true" outlineLevel="0" collapsed="false">
      <c r="A24" s="22"/>
      <c r="B24" s="22"/>
      <c r="C24" s="22"/>
      <c r="D24" s="22"/>
      <c r="E24" s="9"/>
      <c r="F24" s="9"/>
      <c r="G24" s="9"/>
      <c r="H24" s="20"/>
      <c r="I24" s="22"/>
    </row>
    <row r="25" customFormat="false" ht="15" hidden="false" customHeight="true" outlineLevel="0" collapsed="false">
      <c r="A25" s="22"/>
      <c r="B25" s="22"/>
      <c r="C25" s="22"/>
      <c r="D25" s="22"/>
      <c r="E25" s="9"/>
      <c r="F25" s="9"/>
      <c r="G25" s="9"/>
      <c r="H25" s="20"/>
      <c r="I25" s="22"/>
    </row>
    <row r="26" customFormat="false" ht="15" hidden="false" customHeight="true" outlineLevel="0" collapsed="false">
      <c r="A26" s="22"/>
      <c r="B26" s="22"/>
      <c r="C26" s="22"/>
      <c r="D26" s="22"/>
      <c r="E26" s="9"/>
      <c r="F26" s="9"/>
      <c r="G26" s="9"/>
      <c r="H26" s="20"/>
      <c r="I26" s="22"/>
    </row>
    <row r="27" customFormat="false" ht="15" hidden="false" customHeight="true" outlineLevel="0" collapsed="false">
      <c r="A27" s="22"/>
      <c r="B27" s="22"/>
      <c r="C27" s="22"/>
      <c r="D27" s="22"/>
      <c r="E27" s="9"/>
      <c r="F27" s="9"/>
      <c r="G27" s="9"/>
      <c r="H27" s="20"/>
      <c r="I27" s="22"/>
    </row>
    <row r="28" customFormat="false" ht="15" hidden="false" customHeight="true" outlineLevel="0" collapsed="false">
      <c r="A28" s="22"/>
      <c r="B28" s="22"/>
      <c r="C28" s="22"/>
      <c r="D28" s="22"/>
      <c r="E28" s="9"/>
      <c r="F28" s="9"/>
      <c r="G28" s="9"/>
      <c r="H28" s="20"/>
      <c r="I28" s="22"/>
    </row>
    <row r="29" customFormat="false" ht="15" hidden="false" customHeight="true" outlineLevel="0" collapsed="false">
      <c r="A29" s="22"/>
      <c r="B29" s="22"/>
      <c r="C29" s="22"/>
      <c r="D29" s="22"/>
      <c r="E29" s="9"/>
      <c r="F29" s="9"/>
      <c r="G29" s="9"/>
      <c r="H29" s="20"/>
      <c r="I29" s="22"/>
    </row>
    <row r="30" customFormat="false" ht="15" hidden="false" customHeight="true" outlineLevel="0" collapsed="false">
      <c r="A30" s="22"/>
      <c r="B30" s="22"/>
      <c r="C30" s="22"/>
      <c r="D30" s="22"/>
      <c r="E30" s="9"/>
      <c r="F30" s="9"/>
      <c r="G30" s="9"/>
      <c r="H30" s="20"/>
      <c r="I30" s="22"/>
    </row>
    <row r="31" customFormat="false" ht="15" hidden="false" customHeight="true" outlineLevel="0" collapsed="false">
      <c r="A31" s="22"/>
      <c r="B31" s="22"/>
      <c r="C31" s="22"/>
      <c r="D31" s="22"/>
      <c r="E31" s="9"/>
      <c r="F31" s="9"/>
      <c r="G31" s="9"/>
      <c r="H31" s="20"/>
      <c r="I31" s="22"/>
    </row>
    <row r="32" customFormat="false" ht="15" hidden="false" customHeight="true" outlineLevel="0" collapsed="false">
      <c r="A32" s="22"/>
      <c r="B32" s="22"/>
      <c r="C32" s="22"/>
      <c r="D32" s="22"/>
      <c r="E32" s="9"/>
      <c r="F32" s="9"/>
      <c r="G32" s="9"/>
      <c r="H32" s="20"/>
      <c r="I32" s="22"/>
    </row>
    <row r="33" customFormat="false" ht="15" hidden="false" customHeight="true" outlineLevel="0" collapsed="false">
      <c r="A33" s="22"/>
      <c r="B33" s="22"/>
      <c r="C33" s="22"/>
      <c r="D33" s="22"/>
      <c r="E33" s="9"/>
      <c r="F33" s="9"/>
      <c r="G33" s="9"/>
      <c r="H33" s="20"/>
      <c r="I33" s="22"/>
    </row>
    <row r="34" customFormat="false" ht="15" hidden="false" customHeight="true" outlineLevel="0" collapsed="false">
      <c r="A34" s="22"/>
      <c r="B34" s="22"/>
      <c r="C34" s="22"/>
      <c r="D34" s="22"/>
      <c r="E34" s="9"/>
      <c r="F34" s="9"/>
      <c r="G34" s="9"/>
      <c r="H34" s="20"/>
      <c r="I34" s="22"/>
    </row>
    <row r="35" customFormat="false" ht="15" hidden="false" customHeight="true" outlineLevel="0" collapsed="false">
      <c r="A35" s="22"/>
      <c r="B35" s="22"/>
      <c r="C35" s="22"/>
      <c r="D35" s="22"/>
      <c r="E35" s="9"/>
      <c r="F35" s="9"/>
      <c r="G35" s="9"/>
      <c r="H35" s="20"/>
      <c r="I35" s="22"/>
    </row>
    <row r="36" customFormat="false" ht="15" hidden="false" customHeight="true" outlineLevel="0" collapsed="false">
      <c r="A36" s="22"/>
      <c r="B36" s="22"/>
      <c r="C36" s="22"/>
      <c r="D36" s="22"/>
      <c r="E36" s="9"/>
      <c r="F36" s="9"/>
      <c r="G36" s="9"/>
      <c r="H36" s="20"/>
      <c r="I36" s="22"/>
    </row>
    <row r="37" customFormat="false" ht="15" hidden="false" customHeight="true" outlineLevel="0" collapsed="false">
      <c r="A37" s="22"/>
      <c r="B37" s="22"/>
      <c r="C37" s="22"/>
      <c r="D37" s="22"/>
      <c r="E37" s="9"/>
      <c r="F37" s="9"/>
      <c r="G37" s="9"/>
      <c r="H37" s="20"/>
      <c r="I37" s="22"/>
    </row>
    <row r="38" customFormat="false" ht="15" hidden="false" customHeight="true" outlineLevel="0" collapsed="false">
      <c r="A38" s="22"/>
      <c r="B38" s="22"/>
      <c r="C38" s="22"/>
      <c r="D38" s="22"/>
      <c r="E38" s="9"/>
      <c r="F38" s="9"/>
      <c r="G38" s="9"/>
      <c r="H38" s="20"/>
      <c r="I38" s="22"/>
    </row>
    <row r="39" customFormat="false" ht="15" hidden="false" customHeight="true" outlineLevel="0" collapsed="false">
      <c r="A39" s="22"/>
      <c r="B39" s="22"/>
      <c r="C39" s="22"/>
      <c r="D39" s="22"/>
      <c r="E39" s="9"/>
      <c r="F39" s="9"/>
      <c r="G39" s="9"/>
      <c r="H39" s="20"/>
      <c r="I39" s="22"/>
    </row>
    <row r="40" customFormat="false" ht="15" hidden="false" customHeight="true" outlineLevel="0" collapsed="false">
      <c r="A40" s="22"/>
      <c r="B40" s="22"/>
      <c r="C40" s="22"/>
      <c r="D40" s="22"/>
      <c r="E40" s="9"/>
      <c r="F40" s="9"/>
      <c r="G40" s="9"/>
      <c r="H40" s="20"/>
      <c r="I40" s="22"/>
    </row>
    <row r="41" customFormat="false" ht="15" hidden="false" customHeight="true" outlineLevel="0" collapsed="false">
      <c r="A41" s="22"/>
      <c r="B41" s="22"/>
      <c r="C41" s="22"/>
      <c r="D41" s="22"/>
      <c r="E41" s="9"/>
      <c r="F41" s="9"/>
      <c r="G41" s="9"/>
      <c r="H41" s="20"/>
      <c r="I41" s="22"/>
    </row>
    <row r="42" customFormat="false" ht="15" hidden="false" customHeight="true" outlineLevel="0" collapsed="false">
      <c r="A42" s="22"/>
      <c r="B42" s="22"/>
      <c r="C42" s="22"/>
      <c r="D42" s="22"/>
      <c r="E42" s="9"/>
      <c r="F42" s="9"/>
      <c r="G42" s="9"/>
      <c r="H42" s="20"/>
      <c r="I42" s="22"/>
    </row>
    <row r="43" customFormat="false" ht="15" hidden="false" customHeight="true" outlineLevel="0" collapsed="false">
      <c r="A43" s="22"/>
      <c r="B43" s="22"/>
      <c r="C43" s="22"/>
      <c r="D43" s="22"/>
      <c r="E43" s="9"/>
      <c r="F43" s="9"/>
      <c r="G43" s="9"/>
      <c r="H43" s="20"/>
      <c r="I43" s="22"/>
    </row>
    <row r="44" customFormat="false" ht="15" hidden="false" customHeight="true" outlineLevel="0" collapsed="false">
      <c r="A44" s="22"/>
      <c r="B44" s="22"/>
      <c r="C44" s="22"/>
      <c r="D44" s="22"/>
      <c r="E44" s="9"/>
      <c r="F44" s="9"/>
      <c r="G44" s="9"/>
      <c r="H44" s="20"/>
      <c r="I44" s="22"/>
    </row>
    <row r="45" customFormat="false" ht="15" hidden="false" customHeight="true" outlineLevel="0" collapsed="false">
      <c r="A45" s="22"/>
      <c r="B45" s="22"/>
      <c r="C45" s="22"/>
      <c r="D45" s="22"/>
      <c r="E45" s="9"/>
      <c r="F45" s="9"/>
      <c r="G45" s="9"/>
      <c r="H45" s="20"/>
      <c r="I45" s="22"/>
    </row>
    <row r="46" customFormat="false" ht="15" hidden="false" customHeight="true" outlineLevel="0" collapsed="false">
      <c r="A46" s="22"/>
      <c r="B46" s="22"/>
      <c r="C46" s="22"/>
      <c r="D46" s="22"/>
      <c r="E46" s="9"/>
      <c r="F46" s="9"/>
      <c r="G46" s="9"/>
      <c r="H46" s="20"/>
      <c r="I46" s="22"/>
    </row>
    <row r="47" customFormat="false" ht="15" hidden="false" customHeight="true" outlineLevel="0" collapsed="false">
      <c r="A47" s="22"/>
      <c r="B47" s="22"/>
      <c r="C47" s="22"/>
      <c r="D47" s="22"/>
      <c r="E47" s="9"/>
      <c r="F47" s="9"/>
      <c r="G47" s="9"/>
      <c r="H47" s="20"/>
      <c r="I47" s="22"/>
    </row>
    <row r="48" customFormat="false" ht="15" hidden="false" customHeight="true" outlineLevel="0" collapsed="false">
      <c r="A48" s="22"/>
      <c r="B48" s="22"/>
      <c r="C48" s="22"/>
      <c r="D48" s="22"/>
      <c r="E48" s="9"/>
      <c r="F48" s="9"/>
      <c r="G48" s="9"/>
      <c r="H48" s="20"/>
      <c r="I48" s="22"/>
    </row>
    <row r="49" customFormat="false" ht="15" hidden="false" customHeight="true" outlineLevel="0" collapsed="false">
      <c r="A49" s="22"/>
      <c r="B49" s="22"/>
      <c r="C49" s="22"/>
      <c r="D49" s="22"/>
      <c r="E49" s="9"/>
      <c r="F49" s="9"/>
      <c r="G49" s="9"/>
      <c r="H49" s="20"/>
      <c r="I49" s="22"/>
    </row>
    <row r="50" customFormat="false" ht="15" hidden="false" customHeight="true" outlineLevel="0" collapsed="false">
      <c r="A50" s="22"/>
      <c r="B50" s="22"/>
      <c r="C50" s="22"/>
      <c r="D50" s="22"/>
      <c r="E50" s="9"/>
      <c r="F50" s="9"/>
      <c r="G50" s="9"/>
      <c r="H50" s="20"/>
      <c r="I50" s="22"/>
    </row>
    <row r="51" customFormat="false" ht="15" hidden="false" customHeight="true" outlineLevel="0" collapsed="false">
      <c r="A51" s="22"/>
      <c r="B51" s="22"/>
      <c r="C51" s="22"/>
      <c r="D51" s="22"/>
      <c r="E51" s="9"/>
      <c r="F51" s="9"/>
      <c r="G51" s="9"/>
      <c r="H51" s="20"/>
      <c r="I51" s="22"/>
    </row>
    <row r="52" customFormat="false" ht="15" hidden="false" customHeight="true" outlineLevel="0" collapsed="false">
      <c r="A52" s="22"/>
      <c r="B52" s="22"/>
      <c r="C52" s="22"/>
      <c r="D52" s="22"/>
      <c r="E52" s="9"/>
      <c r="F52" s="9"/>
      <c r="G52" s="9"/>
      <c r="H52" s="20"/>
      <c r="I52" s="22"/>
    </row>
    <row r="53" customFormat="false" ht="15" hidden="false" customHeight="true" outlineLevel="0" collapsed="false">
      <c r="A53" s="22"/>
      <c r="B53" s="22"/>
      <c r="C53" s="22"/>
      <c r="D53" s="22"/>
      <c r="E53" s="9"/>
      <c r="F53" s="9"/>
      <c r="G53" s="9"/>
      <c r="H53" s="20"/>
      <c r="I53" s="22"/>
    </row>
    <row r="54" customFormat="false" ht="15" hidden="false" customHeight="true" outlineLevel="0" collapsed="false">
      <c r="A54" s="22"/>
      <c r="B54" s="22"/>
      <c r="C54" s="22"/>
      <c r="D54" s="22"/>
      <c r="E54" s="9"/>
      <c r="F54" s="9"/>
      <c r="G54" s="9"/>
      <c r="H54" s="20"/>
      <c r="I54" s="22"/>
    </row>
    <row r="55" customFormat="false" ht="15" hidden="false" customHeight="true" outlineLevel="0" collapsed="false">
      <c r="A55" s="22"/>
      <c r="B55" s="22"/>
      <c r="C55" s="22"/>
      <c r="D55" s="22"/>
      <c r="E55" s="9"/>
      <c r="F55" s="9"/>
      <c r="G55" s="9"/>
      <c r="H55" s="20"/>
      <c r="I55" s="22"/>
    </row>
    <row r="56" customFormat="false" ht="15" hidden="false" customHeight="true" outlineLevel="0" collapsed="false">
      <c r="A56" s="22"/>
      <c r="B56" s="22"/>
      <c r="C56" s="22"/>
      <c r="D56" s="22"/>
      <c r="E56" s="9"/>
      <c r="F56" s="9"/>
      <c r="G56" s="9"/>
      <c r="H56" s="20"/>
      <c r="I56" s="22"/>
    </row>
    <row r="57" customFormat="false" ht="15" hidden="false" customHeight="true" outlineLevel="0" collapsed="false">
      <c r="A57" s="22"/>
      <c r="B57" s="22"/>
      <c r="C57" s="22"/>
      <c r="D57" s="22"/>
      <c r="E57" s="9"/>
      <c r="F57" s="9"/>
      <c r="G57" s="9"/>
      <c r="H57" s="20"/>
      <c r="I57" s="22"/>
    </row>
    <row r="58" customFormat="false" ht="15" hidden="false" customHeight="true" outlineLevel="0" collapsed="false">
      <c r="A58" s="22"/>
      <c r="B58" s="22"/>
      <c r="C58" s="22"/>
      <c r="D58" s="22"/>
      <c r="E58" s="9"/>
      <c r="F58" s="9"/>
      <c r="G58" s="9"/>
      <c r="H58" s="20"/>
      <c r="I58" s="22"/>
    </row>
    <row r="59" customFormat="false" ht="15" hidden="false" customHeight="true" outlineLevel="0" collapsed="false">
      <c r="A59" s="22"/>
      <c r="B59" s="22"/>
      <c r="C59" s="22"/>
      <c r="D59" s="22"/>
      <c r="E59" s="9"/>
      <c r="F59" s="9"/>
      <c r="G59" s="9"/>
      <c r="H59" s="20"/>
      <c r="I59" s="22"/>
    </row>
    <row r="60" customFormat="false" ht="15" hidden="false" customHeight="true" outlineLevel="0" collapsed="false">
      <c r="A60" s="22"/>
      <c r="B60" s="22"/>
      <c r="C60" s="22"/>
      <c r="D60" s="22"/>
      <c r="E60" s="9"/>
      <c r="F60" s="9"/>
      <c r="G60" s="9"/>
      <c r="H60" s="20"/>
      <c r="I60" s="22"/>
    </row>
    <row r="61" customFormat="false" ht="15" hidden="false" customHeight="true" outlineLevel="0" collapsed="false">
      <c r="A61" s="22"/>
      <c r="B61" s="22"/>
      <c r="C61" s="22"/>
      <c r="D61" s="22"/>
      <c r="E61" s="9"/>
      <c r="F61" s="9"/>
      <c r="G61" s="9"/>
      <c r="H61" s="20"/>
      <c r="I61" s="22"/>
    </row>
    <row r="62" customFormat="false" ht="15" hidden="false" customHeight="true" outlineLevel="0" collapsed="false">
      <c r="A62" s="22"/>
      <c r="B62" s="22"/>
      <c r="C62" s="22"/>
      <c r="D62" s="22"/>
      <c r="E62" s="9"/>
      <c r="F62" s="9"/>
      <c r="G62" s="9"/>
      <c r="H62" s="20"/>
      <c r="I62" s="22"/>
    </row>
    <row r="63" customFormat="false" ht="15" hidden="false" customHeight="true" outlineLevel="0" collapsed="false">
      <c r="A63" s="22"/>
      <c r="B63" s="22"/>
      <c r="C63" s="22"/>
      <c r="D63" s="22"/>
      <c r="E63" s="9"/>
      <c r="F63" s="9"/>
      <c r="G63" s="9"/>
      <c r="H63" s="20"/>
      <c r="I63" s="22"/>
    </row>
    <row r="64" customFormat="false" ht="15" hidden="false" customHeight="true" outlineLevel="0" collapsed="false">
      <c r="A64" s="22"/>
      <c r="B64" s="22"/>
      <c r="C64" s="22"/>
      <c r="D64" s="22"/>
      <c r="E64" s="9"/>
      <c r="F64" s="9"/>
      <c r="G64" s="9"/>
      <c r="H64" s="20"/>
      <c r="I64" s="22"/>
    </row>
    <row r="65" customFormat="false" ht="15" hidden="false" customHeight="true" outlineLevel="0" collapsed="false">
      <c r="A65" s="22"/>
      <c r="B65" s="22"/>
      <c r="C65" s="22"/>
      <c r="D65" s="22"/>
      <c r="E65" s="9"/>
      <c r="F65" s="9"/>
      <c r="G65" s="9"/>
      <c r="H65" s="20"/>
      <c r="I65" s="22"/>
    </row>
    <row r="66" customFormat="false" ht="15" hidden="false" customHeight="true" outlineLevel="0" collapsed="false">
      <c r="A66" s="22"/>
      <c r="B66" s="22"/>
      <c r="C66" s="22"/>
      <c r="D66" s="22"/>
      <c r="E66" s="9"/>
      <c r="F66" s="9"/>
      <c r="G66" s="9"/>
      <c r="H66" s="20"/>
      <c r="I66" s="22"/>
    </row>
    <row r="67" customFormat="false" ht="15" hidden="false" customHeight="true" outlineLevel="0" collapsed="false">
      <c r="A67" s="22"/>
      <c r="B67" s="22"/>
      <c r="C67" s="22"/>
      <c r="D67" s="22"/>
      <c r="E67" s="9"/>
      <c r="F67" s="9"/>
      <c r="G67" s="9"/>
      <c r="H67" s="20"/>
      <c r="I67" s="22"/>
    </row>
    <row r="68" customFormat="false" ht="15" hidden="false" customHeight="true" outlineLevel="0" collapsed="false">
      <c r="A68" s="22"/>
      <c r="B68" s="22"/>
      <c r="C68" s="22"/>
      <c r="D68" s="22"/>
      <c r="E68" s="9"/>
      <c r="F68" s="9"/>
      <c r="G68" s="9"/>
      <c r="H68" s="20"/>
      <c r="I68" s="22"/>
    </row>
    <row r="69" customFormat="false" ht="15" hidden="false" customHeight="true" outlineLevel="0" collapsed="false">
      <c r="A69" s="22"/>
      <c r="B69" s="22"/>
      <c r="C69" s="22"/>
      <c r="D69" s="22"/>
      <c r="E69" s="9"/>
      <c r="F69" s="9"/>
      <c r="G69" s="9"/>
      <c r="H69" s="20"/>
      <c r="I69" s="22"/>
    </row>
    <row r="70" customFormat="false" ht="15" hidden="false" customHeight="true" outlineLevel="0" collapsed="false">
      <c r="A70" s="22"/>
      <c r="B70" s="22"/>
      <c r="C70" s="22"/>
      <c r="D70" s="22"/>
      <c r="E70" s="9"/>
      <c r="F70" s="9"/>
      <c r="G70" s="9"/>
      <c r="H70" s="20"/>
      <c r="I70" s="22"/>
    </row>
    <row r="71" customFormat="false" ht="15" hidden="false" customHeight="true" outlineLevel="0" collapsed="false">
      <c r="A71" s="22"/>
      <c r="B71" s="22"/>
      <c r="C71" s="22"/>
      <c r="D71" s="22"/>
      <c r="E71" s="9"/>
      <c r="F71" s="9"/>
      <c r="G71" s="9"/>
      <c r="H71" s="20"/>
      <c r="I71" s="22"/>
    </row>
    <row r="72" customFormat="false" ht="15" hidden="false" customHeight="true" outlineLevel="0" collapsed="false">
      <c r="A72" s="22"/>
      <c r="B72" s="22"/>
      <c r="C72" s="22"/>
      <c r="D72" s="22"/>
      <c r="E72" s="9"/>
      <c r="F72" s="9"/>
      <c r="G72" s="9"/>
      <c r="H72" s="20"/>
      <c r="I72" s="22"/>
    </row>
    <row r="73" customFormat="false" ht="15" hidden="false" customHeight="true" outlineLevel="0" collapsed="false">
      <c r="A73" s="22"/>
      <c r="B73" s="22"/>
      <c r="C73" s="22"/>
      <c r="D73" s="22"/>
      <c r="E73" s="9"/>
      <c r="F73" s="9"/>
      <c r="G73" s="9"/>
      <c r="H73" s="20"/>
      <c r="I73" s="22"/>
    </row>
    <row r="74" customFormat="false" ht="15" hidden="false" customHeight="true" outlineLevel="0" collapsed="false">
      <c r="A74" s="22"/>
      <c r="B74" s="22"/>
      <c r="C74" s="22"/>
      <c r="D74" s="22"/>
      <c r="E74" s="9"/>
      <c r="F74" s="9"/>
      <c r="G74" s="9"/>
      <c r="H74" s="20"/>
      <c r="I74" s="22"/>
    </row>
    <row r="75" customFormat="false" ht="15" hidden="false" customHeight="true" outlineLevel="0" collapsed="false">
      <c r="A75" s="22"/>
      <c r="B75" s="22"/>
      <c r="C75" s="22"/>
      <c r="D75" s="22"/>
      <c r="E75" s="9"/>
      <c r="F75" s="9"/>
      <c r="G75" s="9"/>
      <c r="H75" s="20"/>
      <c r="I75" s="22"/>
    </row>
    <row r="76" customFormat="false" ht="15" hidden="false" customHeight="true" outlineLevel="0" collapsed="false">
      <c r="A76" s="22"/>
      <c r="B76" s="22"/>
      <c r="C76" s="22"/>
      <c r="D76" s="22"/>
      <c r="E76" s="9"/>
      <c r="F76" s="9"/>
      <c r="G76" s="9"/>
      <c r="H76" s="20"/>
      <c r="I76" s="22"/>
    </row>
    <row r="77" customFormat="false" ht="15" hidden="false" customHeight="true" outlineLevel="0" collapsed="false">
      <c r="A77" s="22"/>
      <c r="B77" s="22"/>
      <c r="C77" s="22"/>
      <c r="D77" s="22"/>
      <c r="E77" s="9"/>
      <c r="F77" s="9"/>
      <c r="G77" s="9"/>
      <c r="H77" s="20"/>
      <c r="I77" s="22"/>
    </row>
    <row r="78" customFormat="false" ht="15" hidden="false" customHeight="true" outlineLevel="0" collapsed="false">
      <c r="A78" s="22"/>
      <c r="B78" s="22"/>
      <c r="C78" s="22"/>
      <c r="D78" s="22"/>
      <c r="E78" s="9"/>
      <c r="F78" s="9"/>
      <c r="G78" s="9"/>
      <c r="H78" s="20"/>
      <c r="I78" s="22"/>
    </row>
    <row r="79" customFormat="false" ht="15" hidden="false" customHeight="true" outlineLevel="0" collapsed="false">
      <c r="A79" s="22"/>
      <c r="B79" s="22"/>
      <c r="C79" s="22"/>
      <c r="D79" s="22"/>
      <c r="E79" s="9"/>
      <c r="F79" s="9"/>
      <c r="G79" s="9"/>
      <c r="H79" s="20"/>
      <c r="I79" s="22"/>
    </row>
    <row r="80" customFormat="false" ht="15" hidden="false" customHeight="true" outlineLevel="0" collapsed="false">
      <c r="A80" s="22"/>
      <c r="B80" s="22"/>
      <c r="C80" s="22"/>
      <c r="D80" s="22"/>
      <c r="E80" s="9"/>
      <c r="F80" s="9"/>
      <c r="G80" s="9"/>
      <c r="H80" s="20"/>
      <c r="I80" s="22"/>
    </row>
    <row r="81" customFormat="false" ht="15" hidden="false" customHeight="true" outlineLevel="0" collapsed="false">
      <c r="A81" s="22"/>
      <c r="B81" s="22"/>
      <c r="C81" s="22"/>
      <c r="D81" s="22"/>
      <c r="E81" s="9"/>
      <c r="F81" s="9"/>
      <c r="G81" s="9"/>
      <c r="H81" s="20"/>
      <c r="I81" s="22"/>
    </row>
    <row r="82" customFormat="false" ht="15" hidden="false" customHeight="true" outlineLevel="0" collapsed="false">
      <c r="A82" s="22"/>
      <c r="B82" s="22"/>
      <c r="C82" s="22"/>
      <c r="D82" s="22"/>
      <c r="E82" s="9"/>
      <c r="F82" s="9"/>
      <c r="G82" s="9"/>
      <c r="H82" s="20"/>
      <c r="I82" s="22"/>
    </row>
    <row r="83" customFormat="false" ht="15" hidden="false" customHeight="true" outlineLevel="0" collapsed="false">
      <c r="A83" s="22"/>
      <c r="B83" s="22"/>
      <c r="C83" s="22"/>
      <c r="D83" s="22"/>
      <c r="E83" s="9"/>
      <c r="F83" s="9"/>
      <c r="G83" s="9"/>
      <c r="H83" s="20"/>
      <c r="I83" s="22"/>
    </row>
    <row r="84" customFormat="false" ht="15" hidden="false" customHeight="true" outlineLevel="0" collapsed="false">
      <c r="A84" s="22"/>
      <c r="B84" s="22"/>
      <c r="C84" s="22"/>
      <c r="D84" s="22"/>
      <c r="E84" s="9"/>
      <c r="F84" s="9"/>
      <c r="G84" s="9"/>
      <c r="H84" s="20"/>
      <c r="I84" s="22"/>
    </row>
    <row r="85" customFormat="false" ht="15" hidden="false" customHeight="true" outlineLevel="0" collapsed="false">
      <c r="A85" s="22"/>
      <c r="B85" s="22"/>
      <c r="C85" s="22"/>
      <c r="D85" s="22"/>
      <c r="E85" s="9"/>
      <c r="F85" s="9"/>
      <c r="G85" s="9"/>
      <c r="H85" s="20"/>
      <c r="I85" s="22"/>
    </row>
    <row r="86" customFormat="false" ht="15" hidden="false" customHeight="true" outlineLevel="0" collapsed="false">
      <c r="A86" s="22"/>
      <c r="B86" s="22"/>
      <c r="C86" s="22"/>
      <c r="D86" s="22"/>
      <c r="E86" s="9"/>
      <c r="F86" s="9"/>
      <c r="G86" s="9"/>
      <c r="H86" s="20"/>
      <c r="I86" s="22"/>
    </row>
    <row r="87" customFormat="false" ht="15" hidden="false" customHeight="true" outlineLevel="0" collapsed="false">
      <c r="A87" s="22"/>
      <c r="B87" s="22"/>
      <c r="C87" s="22"/>
      <c r="D87" s="22"/>
      <c r="E87" s="9"/>
      <c r="F87" s="9"/>
      <c r="G87" s="9"/>
      <c r="H87" s="20"/>
      <c r="I87" s="22"/>
    </row>
    <row r="88" customFormat="false" ht="15" hidden="false" customHeight="true" outlineLevel="0" collapsed="false">
      <c r="A88" s="22"/>
      <c r="B88" s="22"/>
      <c r="C88" s="22"/>
      <c r="D88" s="22"/>
      <c r="E88" s="9"/>
      <c r="F88" s="9"/>
      <c r="G88" s="9"/>
      <c r="H88" s="20"/>
      <c r="I88" s="22"/>
    </row>
    <row r="89" customFormat="false" ht="15" hidden="false" customHeight="true" outlineLevel="0" collapsed="false">
      <c r="A89" s="22"/>
      <c r="B89" s="22"/>
      <c r="C89" s="22"/>
      <c r="D89" s="22"/>
      <c r="E89" s="9"/>
      <c r="F89" s="9"/>
      <c r="G89" s="9"/>
      <c r="H89" s="20"/>
      <c r="I89" s="22"/>
    </row>
    <row r="90" customFormat="false" ht="15" hidden="false" customHeight="true" outlineLevel="0" collapsed="false">
      <c r="A90" s="22"/>
      <c r="B90" s="22"/>
      <c r="C90" s="22"/>
      <c r="D90" s="22"/>
      <c r="E90" s="9"/>
      <c r="F90" s="9"/>
      <c r="G90" s="9"/>
      <c r="H90" s="20"/>
      <c r="I90" s="22"/>
    </row>
    <row r="91" customFormat="false" ht="15" hidden="false" customHeight="true" outlineLevel="0" collapsed="false">
      <c r="A91" s="22"/>
      <c r="B91" s="22"/>
      <c r="C91" s="22"/>
      <c r="D91" s="22"/>
      <c r="E91" s="9"/>
      <c r="F91" s="9"/>
      <c r="G91" s="9"/>
      <c r="H91" s="20"/>
      <c r="I91" s="22"/>
    </row>
    <row r="92" customFormat="false" ht="15" hidden="false" customHeight="true" outlineLevel="0" collapsed="false">
      <c r="A92" s="22"/>
      <c r="B92" s="22"/>
      <c r="C92" s="22"/>
      <c r="D92" s="22"/>
      <c r="E92" s="9"/>
      <c r="F92" s="9"/>
      <c r="G92" s="9"/>
      <c r="H92" s="20"/>
      <c r="I92" s="22"/>
    </row>
    <row r="93" customFormat="false" ht="15" hidden="false" customHeight="true" outlineLevel="0" collapsed="false">
      <c r="A93" s="22"/>
      <c r="B93" s="22"/>
      <c r="C93" s="22"/>
      <c r="D93" s="22"/>
      <c r="E93" s="9"/>
      <c r="F93" s="9"/>
      <c r="G93" s="9"/>
      <c r="H93" s="20"/>
      <c r="I93" s="22"/>
    </row>
    <row r="94" customFormat="false" ht="15" hidden="false" customHeight="true" outlineLevel="0" collapsed="false">
      <c r="A94" s="22"/>
      <c r="B94" s="22"/>
      <c r="C94" s="22"/>
      <c r="D94" s="22"/>
      <c r="E94" s="9"/>
      <c r="F94" s="9"/>
      <c r="G94" s="9"/>
      <c r="H94" s="20"/>
      <c r="I94" s="22"/>
    </row>
    <row r="95" customFormat="false" ht="15" hidden="false" customHeight="true" outlineLevel="0" collapsed="false">
      <c r="A95" s="22"/>
      <c r="B95" s="22"/>
      <c r="C95" s="22"/>
      <c r="D95" s="22"/>
      <c r="E95" s="9"/>
      <c r="F95" s="9"/>
      <c r="G95" s="9"/>
      <c r="H95" s="20"/>
      <c r="I95" s="22"/>
    </row>
    <row r="96" customFormat="false" ht="15" hidden="false" customHeight="true" outlineLevel="0" collapsed="false">
      <c r="A96" s="22"/>
      <c r="B96" s="22"/>
      <c r="C96" s="22"/>
      <c r="D96" s="22"/>
      <c r="E96" s="9"/>
      <c r="F96" s="9"/>
      <c r="G96" s="9"/>
      <c r="H96" s="20"/>
      <c r="I96" s="22"/>
    </row>
    <row r="97" customFormat="false" ht="15" hidden="false" customHeight="true" outlineLevel="0" collapsed="false">
      <c r="A97" s="22"/>
      <c r="B97" s="22"/>
      <c r="C97" s="22"/>
      <c r="D97" s="22"/>
      <c r="E97" s="9"/>
      <c r="F97" s="9"/>
      <c r="G97" s="9"/>
      <c r="H97" s="20"/>
      <c r="I97" s="22"/>
    </row>
    <row r="98" customFormat="false" ht="15" hidden="false" customHeight="true" outlineLevel="0" collapsed="false">
      <c r="A98" s="22"/>
      <c r="B98" s="22"/>
      <c r="C98" s="22"/>
      <c r="D98" s="22"/>
      <c r="E98" s="9"/>
      <c r="F98" s="9"/>
      <c r="G98" s="9"/>
      <c r="H98" s="20"/>
      <c r="I98" s="22"/>
    </row>
    <row r="99" customFormat="false" ht="15" hidden="false" customHeight="true" outlineLevel="0" collapsed="false">
      <c r="A99" s="22"/>
      <c r="B99" s="22"/>
      <c r="C99" s="22"/>
      <c r="D99" s="22"/>
      <c r="E99" s="9"/>
      <c r="F99" s="9"/>
      <c r="G99" s="9"/>
      <c r="H99" s="20"/>
      <c r="I99" s="22"/>
    </row>
    <row r="100" customFormat="false" ht="15" hidden="false" customHeight="true" outlineLevel="0" collapsed="false">
      <c r="A100" s="22"/>
      <c r="B100" s="22"/>
      <c r="C100" s="22"/>
      <c r="D100" s="22"/>
      <c r="E100" s="9"/>
      <c r="F100" s="9"/>
      <c r="G100" s="9"/>
      <c r="H100" s="20"/>
      <c r="I100" s="22"/>
    </row>
    <row r="101" customFormat="false" ht="15" hidden="false" customHeight="true" outlineLevel="0" collapsed="false">
      <c r="A101" s="22"/>
      <c r="B101" s="22"/>
      <c r="C101" s="22"/>
      <c r="D101" s="22"/>
      <c r="E101" s="9"/>
      <c r="F101" s="9"/>
      <c r="G101" s="9"/>
      <c r="H101" s="20"/>
      <c r="I101" s="22"/>
    </row>
    <row r="102" customFormat="false" ht="15" hidden="false" customHeight="true" outlineLevel="0" collapsed="false">
      <c r="A102" s="22"/>
      <c r="B102" s="22"/>
      <c r="C102" s="22"/>
      <c r="D102" s="22"/>
      <c r="E102" s="9"/>
      <c r="F102" s="9"/>
      <c r="G102" s="9"/>
      <c r="H102" s="20"/>
      <c r="I102" s="22"/>
    </row>
    <row r="103" customFormat="false" ht="15" hidden="false" customHeight="true" outlineLevel="0" collapsed="false">
      <c r="A103" s="22"/>
      <c r="B103" s="22"/>
      <c r="C103" s="22"/>
      <c r="D103" s="22"/>
      <c r="E103" s="9"/>
      <c r="F103" s="9"/>
      <c r="G103" s="9"/>
      <c r="H103" s="20"/>
      <c r="I103" s="22"/>
    </row>
    <row r="104" customFormat="false" ht="15" hidden="false" customHeight="true" outlineLevel="0" collapsed="false">
      <c r="A104" s="22"/>
      <c r="B104" s="22"/>
      <c r="C104" s="22"/>
      <c r="D104" s="22"/>
      <c r="E104" s="9"/>
      <c r="F104" s="9"/>
      <c r="G104" s="9"/>
      <c r="H104" s="20"/>
      <c r="I104" s="22"/>
    </row>
    <row r="105" customFormat="false" ht="15" hidden="false" customHeight="true" outlineLevel="0" collapsed="false">
      <c r="A105" s="22"/>
      <c r="B105" s="22"/>
      <c r="C105" s="22"/>
      <c r="D105" s="22"/>
      <c r="E105" s="9"/>
      <c r="F105" s="9"/>
      <c r="G105" s="9"/>
      <c r="H105" s="20"/>
      <c r="I105" s="22"/>
    </row>
    <row r="106" customFormat="false" ht="15" hidden="false" customHeight="true" outlineLevel="0" collapsed="false">
      <c r="A106" s="22"/>
      <c r="B106" s="22"/>
      <c r="C106" s="22"/>
      <c r="D106" s="22"/>
      <c r="E106" s="9"/>
      <c r="F106" s="9"/>
      <c r="G106" s="9"/>
      <c r="H106" s="20"/>
      <c r="I106" s="22"/>
    </row>
    <row r="107" customFormat="false" ht="15" hidden="false" customHeight="true" outlineLevel="0" collapsed="false">
      <c r="A107" s="22"/>
      <c r="B107" s="22"/>
      <c r="C107" s="22"/>
      <c r="D107" s="22"/>
      <c r="E107" s="9"/>
      <c r="F107" s="9"/>
      <c r="G107" s="9"/>
      <c r="H107" s="20"/>
      <c r="I107" s="22"/>
    </row>
    <row r="108" customFormat="false" ht="15" hidden="false" customHeight="true" outlineLevel="0" collapsed="false">
      <c r="A108" s="22"/>
      <c r="B108" s="22"/>
      <c r="C108" s="22"/>
      <c r="D108" s="22"/>
      <c r="E108" s="9"/>
      <c r="F108" s="9"/>
      <c r="G108" s="9"/>
      <c r="H108" s="20"/>
      <c r="I108" s="22"/>
    </row>
    <row r="109" customFormat="false" ht="15" hidden="false" customHeight="true" outlineLevel="0" collapsed="false">
      <c r="A109" s="22"/>
      <c r="B109" s="22"/>
      <c r="C109" s="22"/>
      <c r="D109" s="22"/>
      <c r="E109" s="9"/>
      <c r="F109" s="9"/>
      <c r="G109" s="9"/>
      <c r="H109" s="20"/>
      <c r="I109" s="22"/>
    </row>
    <row r="110" customFormat="false" ht="15" hidden="false" customHeight="true" outlineLevel="0" collapsed="false">
      <c r="A110" s="22"/>
      <c r="B110" s="22"/>
      <c r="C110" s="22"/>
      <c r="D110" s="22"/>
      <c r="E110" s="9"/>
      <c r="F110" s="9"/>
      <c r="G110" s="9"/>
      <c r="H110" s="20"/>
      <c r="I110" s="22"/>
    </row>
    <row r="111" customFormat="false" ht="15" hidden="false" customHeight="true" outlineLevel="0" collapsed="false">
      <c r="A111" s="22"/>
      <c r="B111" s="22"/>
      <c r="C111" s="22"/>
      <c r="D111" s="22"/>
      <c r="E111" s="9"/>
      <c r="F111" s="9"/>
      <c r="G111" s="9"/>
      <c r="H111" s="20"/>
      <c r="I111" s="22"/>
    </row>
    <row r="112" customFormat="false" ht="15" hidden="false" customHeight="true" outlineLevel="0" collapsed="false">
      <c r="A112" s="22"/>
      <c r="B112" s="22"/>
      <c r="C112" s="22"/>
      <c r="D112" s="22"/>
      <c r="E112" s="9"/>
      <c r="F112" s="9"/>
      <c r="G112" s="9"/>
      <c r="H112" s="20"/>
      <c r="I112" s="22"/>
    </row>
    <row r="113" customFormat="false" ht="15" hidden="false" customHeight="true" outlineLevel="0" collapsed="false">
      <c r="A113" s="22"/>
      <c r="B113" s="22"/>
      <c r="C113" s="22"/>
      <c r="D113" s="22"/>
      <c r="E113" s="9"/>
      <c r="F113" s="9"/>
      <c r="G113" s="9"/>
      <c r="H113" s="20"/>
      <c r="I113" s="22"/>
    </row>
    <row r="114" customFormat="false" ht="15" hidden="false" customHeight="true" outlineLevel="0" collapsed="false">
      <c r="A114" s="22"/>
      <c r="B114" s="22"/>
      <c r="C114" s="22"/>
      <c r="D114" s="22"/>
      <c r="E114" s="9"/>
      <c r="F114" s="9"/>
      <c r="G114" s="9"/>
      <c r="H114" s="20"/>
      <c r="I114" s="22"/>
    </row>
    <row r="115" customFormat="false" ht="15" hidden="false" customHeight="true" outlineLevel="0" collapsed="false">
      <c r="A115" s="22"/>
      <c r="B115" s="22"/>
      <c r="C115" s="22"/>
      <c r="D115" s="22"/>
      <c r="E115" s="9"/>
      <c r="F115" s="9"/>
      <c r="G115" s="9"/>
      <c r="H115" s="20"/>
      <c r="I115" s="22"/>
    </row>
    <row r="116" customFormat="false" ht="15" hidden="false" customHeight="true" outlineLevel="0" collapsed="false">
      <c r="A116" s="22"/>
      <c r="B116" s="22"/>
      <c r="C116" s="22"/>
      <c r="D116" s="22"/>
      <c r="E116" s="9"/>
      <c r="F116" s="9"/>
      <c r="G116" s="9"/>
      <c r="H116" s="20"/>
      <c r="I116" s="22"/>
    </row>
    <row r="117" customFormat="false" ht="15" hidden="false" customHeight="true" outlineLevel="0" collapsed="false">
      <c r="A117" s="22"/>
      <c r="B117" s="22"/>
      <c r="C117" s="22"/>
      <c r="D117" s="22"/>
      <c r="E117" s="9"/>
      <c r="F117" s="9"/>
      <c r="G117" s="9"/>
      <c r="H117" s="20"/>
      <c r="I117" s="22"/>
    </row>
    <row r="118" customFormat="false" ht="15" hidden="false" customHeight="true" outlineLevel="0" collapsed="false">
      <c r="A118" s="22"/>
      <c r="B118" s="22"/>
      <c r="C118" s="22"/>
      <c r="D118" s="22"/>
      <c r="E118" s="9"/>
      <c r="F118" s="9"/>
      <c r="G118" s="9"/>
      <c r="H118" s="20"/>
      <c r="I118" s="22"/>
    </row>
    <row r="119" customFormat="false" ht="15" hidden="false" customHeight="true" outlineLevel="0" collapsed="false">
      <c r="A119" s="22"/>
      <c r="B119" s="22"/>
      <c r="C119" s="22"/>
      <c r="D119" s="22"/>
      <c r="E119" s="9"/>
      <c r="F119" s="9"/>
      <c r="G119" s="9"/>
      <c r="H119" s="20"/>
      <c r="I119" s="22"/>
    </row>
    <row r="120" customFormat="false" ht="15" hidden="false" customHeight="true" outlineLevel="0" collapsed="false">
      <c r="A120" s="22"/>
      <c r="B120" s="22"/>
      <c r="C120" s="22"/>
      <c r="D120" s="22"/>
      <c r="E120" s="9"/>
      <c r="F120" s="9"/>
      <c r="G120" s="9"/>
      <c r="H120" s="20"/>
      <c r="I120" s="22"/>
    </row>
    <row r="121" customFormat="false" ht="15" hidden="false" customHeight="true" outlineLevel="0" collapsed="false">
      <c r="A121" s="22"/>
      <c r="B121" s="22"/>
      <c r="C121" s="22"/>
      <c r="D121" s="22"/>
      <c r="E121" s="9"/>
      <c r="F121" s="9"/>
      <c r="G121" s="9"/>
      <c r="H121" s="20"/>
      <c r="I121" s="22"/>
    </row>
    <row r="122" customFormat="false" ht="15" hidden="false" customHeight="true" outlineLevel="0" collapsed="false">
      <c r="A122" s="22"/>
      <c r="B122" s="22"/>
      <c r="C122" s="22"/>
      <c r="D122" s="22"/>
      <c r="E122" s="9"/>
      <c r="F122" s="9"/>
      <c r="G122" s="9"/>
      <c r="H122" s="20"/>
      <c r="I122" s="22"/>
    </row>
    <row r="123" customFormat="false" ht="15" hidden="false" customHeight="true" outlineLevel="0" collapsed="false">
      <c r="A123" s="22"/>
      <c r="B123" s="22"/>
      <c r="C123" s="22"/>
      <c r="D123" s="22"/>
      <c r="E123" s="9"/>
      <c r="F123" s="9"/>
      <c r="G123" s="9"/>
      <c r="H123" s="20"/>
      <c r="I123" s="22"/>
    </row>
    <row r="124" customFormat="false" ht="15" hidden="false" customHeight="true" outlineLevel="0" collapsed="false">
      <c r="A124" s="22"/>
      <c r="B124" s="22"/>
      <c r="C124" s="22"/>
      <c r="D124" s="22"/>
      <c r="E124" s="9"/>
      <c r="F124" s="9"/>
      <c r="G124" s="9"/>
      <c r="H124" s="20"/>
      <c r="I124" s="22"/>
    </row>
    <row r="125" customFormat="false" ht="15" hidden="false" customHeight="true" outlineLevel="0" collapsed="false">
      <c r="A125" s="22"/>
      <c r="B125" s="22"/>
      <c r="C125" s="22"/>
      <c r="D125" s="22"/>
      <c r="E125" s="9"/>
      <c r="F125" s="9"/>
      <c r="G125" s="9"/>
      <c r="H125" s="20"/>
      <c r="I125" s="22"/>
    </row>
    <row r="126" customFormat="false" ht="15" hidden="false" customHeight="true" outlineLevel="0" collapsed="false">
      <c r="A126" s="22"/>
      <c r="B126" s="22"/>
      <c r="C126" s="22"/>
      <c r="D126" s="22"/>
      <c r="E126" s="9"/>
      <c r="F126" s="9"/>
      <c r="G126" s="9"/>
      <c r="H126" s="20"/>
      <c r="I126" s="22"/>
    </row>
    <row r="127" customFormat="false" ht="15" hidden="false" customHeight="true" outlineLevel="0" collapsed="false">
      <c r="A127" s="22"/>
      <c r="B127" s="22"/>
      <c r="C127" s="22"/>
      <c r="D127" s="22"/>
      <c r="E127" s="9"/>
      <c r="F127" s="9"/>
      <c r="G127" s="9"/>
      <c r="H127" s="20"/>
      <c r="I127" s="22"/>
    </row>
    <row r="128" customFormat="false" ht="15" hidden="false" customHeight="true" outlineLevel="0" collapsed="false">
      <c r="A128" s="22"/>
      <c r="B128" s="22"/>
      <c r="C128" s="22"/>
      <c r="D128" s="22"/>
      <c r="E128" s="9"/>
      <c r="F128" s="9"/>
      <c r="G128" s="9"/>
      <c r="H128" s="20"/>
      <c r="I128" s="22"/>
    </row>
    <row r="129" customFormat="false" ht="15" hidden="false" customHeight="true" outlineLevel="0" collapsed="false">
      <c r="A129" s="22"/>
      <c r="B129" s="22"/>
      <c r="C129" s="22"/>
      <c r="D129" s="22"/>
      <c r="E129" s="9"/>
      <c r="F129" s="9"/>
      <c r="G129" s="9"/>
      <c r="H129" s="20"/>
      <c r="I129" s="22"/>
    </row>
    <row r="130" customFormat="false" ht="15" hidden="false" customHeight="true" outlineLevel="0" collapsed="false">
      <c r="A130" s="22"/>
      <c r="B130" s="22"/>
      <c r="C130" s="22"/>
      <c r="D130" s="22"/>
      <c r="E130" s="9"/>
      <c r="F130" s="9"/>
      <c r="G130" s="9"/>
      <c r="H130" s="20"/>
      <c r="I130" s="22"/>
    </row>
    <row r="131" customFormat="false" ht="15" hidden="false" customHeight="true" outlineLevel="0" collapsed="false">
      <c r="A131" s="22"/>
      <c r="B131" s="22"/>
      <c r="C131" s="22"/>
      <c r="D131" s="22"/>
      <c r="E131" s="9"/>
      <c r="F131" s="9"/>
      <c r="G131" s="9"/>
      <c r="H131" s="20"/>
      <c r="I131" s="22"/>
    </row>
    <row r="132" customFormat="false" ht="15" hidden="false" customHeight="true" outlineLevel="0" collapsed="false">
      <c r="A132" s="22"/>
      <c r="B132" s="22"/>
      <c r="C132" s="22"/>
      <c r="D132" s="22"/>
      <c r="E132" s="9"/>
      <c r="F132" s="9"/>
      <c r="G132" s="9"/>
      <c r="H132" s="20"/>
      <c r="I132" s="22"/>
    </row>
    <row r="133" customFormat="false" ht="15" hidden="false" customHeight="true" outlineLevel="0" collapsed="false">
      <c r="A133" s="22"/>
      <c r="B133" s="22"/>
      <c r="C133" s="22"/>
      <c r="D133" s="22"/>
      <c r="E133" s="9"/>
      <c r="F133" s="9"/>
      <c r="G133" s="9"/>
      <c r="H133" s="20"/>
      <c r="I133" s="22"/>
    </row>
    <row r="134" customFormat="false" ht="15" hidden="false" customHeight="true" outlineLevel="0" collapsed="false">
      <c r="A134" s="22"/>
      <c r="B134" s="22"/>
      <c r="C134" s="22"/>
      <c r="D134" s="22"/>
      <c r="E134" s="9"/>
      <c r="F134" s="9"/>
      <c r="G134" s="9"/>
      <c r="H134" s="20"/>
      <c r="I134" s="22"/>
    </row>
    <row r="135" customFormat="false" ht="15" hidden="false" customHeight="true" outlineLevel="0" collapsed="false">
      <c r="A135" s="22"/>
      <c r="B135" s="22"/>
      <c r="C135" s="22"/>
      <c r="D135" s="22"/>
      <c r="E135" s="9"/>
      <c r="F135" s="9"/>
      <c r="G135" s="9"/>
      <c r="H135" s="20"/>
      <c r="I135" s="22"/>
    </row>
    <row r="136" customFormat="false" ht="15" hidden="false" customHeight="true" outlineLevel="0" collapsed="false">
      <c r="A136" s="22"/>
      <c r="B136" s="22"/>
      <c r="C136" s="22"/>
      <c r="D136" s="22"/>
      <c r="E136" s="9"/>
      <c r="F136" s="9"/>
      <c r="G136" s="9"/>
      <c r="H136" s="20"/>
      <c r="I136" s="22"/>
    </row>
    <row r="137" customFormat="false" ht="15" hidden="false" customHeight="true" outlineLevel="0" collapsed="false">
      <c r="A137" s="22"/>
      <c r="B137" s="22"/>
      <c r="C137" s="22"/>
      <c r="D137" s="22"/>
      <c r="E137" s="9"/>
      <c r="F137" s="9"/>
      <c r="G137" s="9"/>
      <c r="H137" s="20"/>
      <c r="I137" s="22"/>
    </row>
    <row r="138" customFormat="false" ht="15" hidden="false" customHeight="true" outlineLevel="0" collapsed="false">
      <c r="A138" s="22"/>
      <c r="B138" s="22"/>
      <c r="C138" s="22"/>
      <c r="D138" s="22"/>
      <c r="E138" s="9"/>
      <c r="F138" s="9"/>
      <c r="G138" s="9"/>
      <c r="H138" s="20"/>
      <c r="I138" s="22"/>
    </row>
    <row r="139" customFormat="false" ht="15" hidden="false" customHeight="true" outlineLevel="0" collapsed="false">
      <c r="A139" s="22"/>
      <c r="B139" s="22"/>
      <c r="C139" s="22"/>
      <c r="D139" s="22"/>
      <c r="E139" s="9"/>
      <c r="F139" s="9"/>
      <c r="G139" s="9"/>
      <c r="H139" s="20"/>
      <c r="I139" s="22"/>
    </row>
    <row r="140" customFormat="false" ht="15" hidden="false" customHeight="true" outlineLevel="0" collapsed="false">
      <c r="A140" s="22"/>
      <c r="B140" s="22"/>
      <c r="C140" s="22"/>
      <c r="D140" s="22"/>
      <c r="E140" s="9"/>
      <c r="F140" s="9"/>
      <c r="G140" s="9"/>
      <c r="H140" s="20"/>
      <c r="I140" s="22"/>
    </row>
    <row r="141" customFormat="false" ht="15" hidden="false" customHeight="true" outlineLevel="0" collapsed="false">
      <c r="A141" s="22"/>
      <c r="B141" s="22"/>
      <c r="C141" s="22"/>
      <c r="D141" s="22"/>
      <c r="E141" s="9"/>
      <c r="F141" s="9"/>
      <c r="G141" s="9"/>
      <c r="H141" s="20"/>
      <c r="I141" s="22"/>
    </row>
    <row r="142" customFormat="false" ht="15" hidden="false" customHeight="true" outlineLevel="0" collapsed="false">
      <c r="A142" s="22"/>
      <c r="B142" s="22"/>
      <c r="C142" s="22"/>
      <c r="D142" s="22"/>
      <c r="E142" s="9"/>
      <c r="F142" s="9"/>
      <c r="G142" s="9"/>
      <c r="H142" s="20"/>
      <c r="I142" s="22"/>
    </row>
    <row r="143" customFormat="false" ht="15" hidden="false" customHeight="true" outlineLevel="0" collapsed="false">
      <c r="A143" s="22"/>
      <c r="B143" s="22"/>
      <c r="C143" s="22"/>
      <c r="D143" s="22"/>
      <c r="E143" s="9"/>
      <c r="F143" s="9"/>
      <c r="G143" s="9"/>
      <c r="H143" s="20"/>
      <c r="I143" s="22"/>
    </row>
    <row r="144" customFormat="false" ht="15" hidden="false" customHeight="true" outlineLevel="0" collapsed="false">
      <c r="A144" s="22"/>
      <c r="B144" s="22"/>
      <c r="C144" s="22"/>
      <c r="D144" s="22"/>
      <c r="E144" s="9"/>
      <c r="F144" s="9"/>
      <c r="G144" s="9"/>
      <c r="H144" s="20"/>
      <c r="I144" s="22"/>
    </row>
    <row r="145" customFormat="false" ht="15" hidden="false" customHeight="true" outlineLevel="0" collapsed="false">
      <c r="A145" s="22"/>
      <c r="B145" s="22"/>
      <c r="C145" s="22"/>
      <c r="D145" s="22"/>
      <c r="E145" s="9"/>
      <c r="F145" s="9"/>
      <c r="G145" s="9"/>
      <c r="H145" s="20"/>
      <c r="I145" s="22"/>
    </row>
    <row r="146" customFormat="false" ht="15" hidden="false" customHeight="true" outlineLevel="0" collapsed="false">
      <c r="A146" s="22"/>
      <c r="B146" s="22"/>
      <c r="C146" s="22"/>
      <c r="D146" s="22"/>
      <c r="E146" s="9"/>
      <c r="F146" s="9"/>
      <c r="G146" s="9"/>
      <c r="H146" s="20"/>
      <c r="I146" s="22"/>
    </row>
    <row r="147" customFormat="false" ht="15" hidden="false" customHeight="true" outlineLevel="0" collapsed="false">
      <c r="A147" s="22"/>
      <c r="B147" s="22"/>
      <c r="C147" s="22"/>
      <c r="D147" s="22"/>
      <c r="E147" s="9"/>
      <c r="F147" s="9"/>
      <c r="G147" s="9"/>
      <c r="H147" s="20"/>
      <c r="I147" s="22"/>
    </row>
    <row r="148" customFormat="false" ht="15" hidden="false" customHeight="true" outlineLevel="0" collapsed="false">
      <c r="A148" s="22"/>
      <c r="B148" s="22"/>
      <c r="C148" s="22"/>
      <c r="D148" s="22"/>
      <c r="E148" s="9"/>
      <c r="F148" s="9"/>
      <c r="G148" s="9"/>
      <c r="H148" s="20"/>
      <c r="I148" s="22"/>
    </row>
    <row r="149" customFormat="false" ht="15" hidden="false" customHeight="true" outlineLevel="0" collapsed="false">
      <c r="A149" s="22"/>
      <c r="B149" s="22"/>
      <c r="C149" s="22"/>
      <c r="D149" s="22"/>
      <c r="E149" s="9"/>
      <c r="F149" s="9"/>
      <c r="G149" s="9"/>
      <c r="H149" s="20"/>
      <c r="I149" s="22"/>
    </row>
    <row r="150" customFormat="false" ht="15" hidden="false" customHeight="true" outlineLevel="0" collapsed="false">
      <c r="A150" s="22"/>
      <c r="B150" s="22"/>
      <c r="C150" s="22"/>
      <c r="D150" s="22"/>
      <c r="E150" s="9"/>
      <c r="F150" s="9"/>
      <c r="G150" s="9"/>
      <c r="H150" s="20"/>
      <c r="I150" s="22"/>
    </row>
    <row r="151" customFormat="false" ht="15" hidden="false" customHeight="true" outlineLevel="0" collapsed="false">
      <c r="A151" s="22"/>
      <c r="B151" s="22"/>
      <c r="C151" s="22"/>
      <c r="D151" s="22"/>
      <c r="E151" s="9"/>
      <c r="F151" s="9"/>
      <c r="G151" s="9"/>
      <c r="H151" s="20"/>
      <c r="I151" s="22"/>
    </row>
    <row r="152" customFormat="false" ht="15" hidden="false" customHeight="true" outlineLevel="0" collapsed="false">
      <c r="A152" s="22"/>
      <c r="B152" s="22"/>
      <c r="C152" s="22"/>
      <c r="D152" s="22"/>
      <c r="E152" s="9"/>
      <c r="F152" s="9"/>
      <c r="G152" s="9"/>
      <c r="H152" s="20"/>
      <c r="I152" s="22"/>
    </row>
    <row r="153" customFormat="false" ht="15" hidden="false" customHeight="true" outlineLevel="0" collapsed="false">
      <c r="A153" s="22"/>
      <c r="B153" s="22"/>
      <c r="C153" s="22"/>
      <c r="D153" s="22"/>
      <c r="E153" s="9"/>
      <c r="F153" s="9"/>
      <c r="G153" s="9"/>
      <c r="H153" s="20"/>
      <c r="I153" s="22"/>
    </row>
    <row r="154" customFormat="false" ht="15" hidden="false" customHeight="true" outlineLevel="0" collapsed="false">
      <c r="A154" s="22"/>
      <c r="B154" s="22"/>
      <c r="C154" s="22"/>
      <c r="D154" s="22"/>
      <c r="E154" s="9"/>
      <c r="F154" s="9"/>
      <c r="G154" s="9"/>
      <c r="H154" s="20"/>
      <c r="I154" s="22"/>
    </row>
    <row r="155" customFormat="false" ht="15" hidden="false" customHeight="true" outlineLevel="0" collapsed="false">
      <c r="A155" s="22"/>
      <c r="B155" s="22"/>
      <c r="C155" s="22"/>
      <c r="D155" s="22"/>
      <c r="E155" s="9"/>
      <c r="F155" s="9"/>
      <c r="G155" s="9"/>
      <c r="H155" s="20"/>
      <c r="I155" s="22"/>
    </row>
    <row r="156" customFormat="false" ht="15" hidden="false" customHeight="true" outlineLevel="0" collapsed="false">
      <c r="A156" s="22"/>
      <c r="B156" s="22"/>
      <c r="C156" s="22"/>
      <c r="D156" s="22"/>
      <c r="E156" s="9"/>
      <c r="F156" s="9"/>
      <c r="G156" s="9"/>
      <c r="H156" s="20"/>
      <c r="I156" s="22"/>
    </row>
    <row r="157" customFormat="false" ht="15" hidden="false" customHeight="true" outlineLevel="0" collapsed="false">
      <c r="A157" s="22"/>
      <c r="B157" s="22"/>
      <c r="C157" s="22"/>
      <c r="D157" s="22"/>
      <c r="E157" s="9"/>
      <c r="F157" s="9"/>
      <c r="G157" s="9"/>
      <c r="H157" s="20"/>
      <c r="I157" s="22"/>
    </row>
    <row r="158" customFormat="false" ht="15" hidden="false" customHeight="true" outlineLevel="0" collapsed="false">
      <c r="A158" s="22"/>
      <c r="B158" s="22"/>
      <c r="C158" s="22"/>
      <c r="D158" s="22"/>
      <c r="E158" s="9"/>
      <c r="F158" s="9"/>
      <c r="G158" s="9"/>
      <c r="H158" s="20"/>
      <c r="I158" s="22"/>
    </row>
    <row r="159" customFormat="false" ht="15" hidden="false" customHeight="true" outlineLevel="0" collapsed="false">
      <c r="A159" s="22"/>
      <c r="B159" s="22"/>
      <c r="C159" s="22"/>
      <c r="D159" s="22"/>
      <c r="E159" s="9"/>
      <c r="F159" s="9"/>
      <c r="G159" s="9"/>
      <c r="H159" s="20"/>
      <c r="I159" s="22"/>
    </row>
    <row r="160" customFormat="false" ht="15" hidden="false" customHeight="true" outlineLevel="0" collapsed="false">
      <c r="A160" s="22"/>
      <c r="B160" s="22"/>
      <c r="C160" s="22"/>
      <c r="D160" s="22"/>
      <c r="E160" s="9"/>
      <c r="F160" s="9"/>
      <c r="G160" s="9"/>
      <c r="H160" s="20"/>
      <c r="I160" s="22"/>
    </row>
    <row r="161" customFormat="false" ht="15" hidden="false" customHeight="true" outlineLevel="0" collapsed="false">
      <c r="A161" s="22"/>
      <c r="B161" s="22"/>
      <c r="C161" s="22"/>
      <c r="D161" s="22"/>
      <c r="E161" s="9"/>
      <c r="F161" s="9"/>
      <c r="G161" s="9"/>
      <c r="H161" s="20"/>
      <c r="I161" s="22"/>
    </row>
    <row r="162" customFormat="false" ht="15" hidden="false" customHeight="true" outlineLevel="0" collapsed="false">
      <c r="A162" s="22"/>
      <c r="B162" s="22"/>
      <c r="C162" s="22"/>
      <c r="D162" s="22"/>
      <c r="E162" s="9"/>
      <c r="F162" s="9"/>
      <c r="G162" s="9"/>
      <c r="H162" s="20"/>
      <c r="I162" s="22"/>
    </row>
    <row r="163" customFormat="false" ht="15" hidden="false" customHeight="true" outlineLevel="0" collapsed="false">
      <c r="A163" s="22"/>
      <c r="B163" s="22"/>
      <c r="C163" s="22"/>
      <c r="D163" s="22"/>
      <c r="E163" s="9"/>
      <c r="F163" s="9"/>
      <c r="G163" s="9"/>
      <c r="H163" s="20"/>
      <c r="I163" s="22"/>
    </row>
    <row r="164" customFormat="false" ht="15" hidden="false" customHeight="true" outlineLevel="0" collapsed="false">
      <c r="A164" s="22"/>
      <c r="B164" s="22"/>
      <c r="C164" s="22"/>
      <c r="D164" s="22"/>
      <c r="E164" s="9"/>
      <c r="F164" s="9"/>
      <c r="G164" s="9"/>
      <c r="H164" s="20"/>
      <c r="I164" s="22"/>
    </row>
    <row r="165" customFormat="false" ht="15" hidden="false" customHeight="true" outlineLevel="0" collapsed="false">
      <c r="A165" s="22"/>
      <c r="B165" s="22"/>
      <c r="C165" s="22"/>
      <c r="D165" s="22"/>
      <c r="E165" s="9"/>
      <c r="F165" s="9"/>
      <c r="G165" s="9"/>
      <c r="H165" s="20"/>
      <c r="I165" s="22"/>
    </row>
    <row r="166" customFormat="false" ht="15" hidden="false" customHeight="true" outlineLevel="0" collapsed="false">
      <c r="A166" s="22"/>
      <c r="B166" s="22"/>
      <c r="C166" s="22"/>
      <c r="D166" s="22"/>
      <c r="E166" s="9"/>
      <c r="F166" s="9"/>
      <c r="G166" s="9"/>
      <c r="H166" s="20"/>
      <c r="I166" s="22"/>
    </row>
    <row r="167" customFormat="false" ht="15" hidden="false" customHeight="true" outlineLevel="0" collapsed="false">
      <c r="A167" s="22"/>
      <c r="B167" s="22"/>
      <c r="C167" s="22"/>
      <c r="D167" s="22"/>
      <c r="E167" s="9"/>
      <c r="F167" s="9"/>
      <c r="G167" s="9"/>
      <c r="H167" s="20"/>
      <c r="I167" s="22"/>
    </row>
    <row r="168" customFormat="false" ht="15" hidden="false" customHeight="true" outlineLevel="0" collapsed="false">
      <c r="A168" s="22"/>
      <c r="B168" s="22"/>
      <c r="C168" s="22"/>
      <c r="D168" s="22"/>
      <c r="E168" s="9"/>
      <c r="F168" s="9"/>
      <c r="G168" s="9"/>
      <c r="H168" s="20"/>
      <c r="I168" s="22"/>
    </row>
    <row r="169" customFormat="false" ht="15" hidden="false" customHeight="true" outlineLevel="0" collapsed="false">
      <c r="A169" s="22"/>
      <c r="B169" s="22"/>
      <c r="C169" s="22"/>
      <c r="D169" s="22"/>
      <c r="E169" s="9"/>
      <c r="F169" s="9"/>
      <c r="G169" s="9"/>
      <c r="H169" s="20"/>
      <c r="I169" s="22"/>
    </row>
    <row r="170" customFormat="false" ht="15" hidden="false" customHeight="true" outlineLevel="0" collapsed="false">
      <c r="A170" s="22"/>
      <c r="B170" s="22"/>
      <c r="C170" s="22"/>
      <c r="D170" s="22"/>
      <c r="E170" s="9"/>
      <c r="F170" s="9"/>
      <c r="G170" s="9"/>
      <c r="H170" s="20"/>
      <c r="I170" s="22"/>
    </row>
    <row r="171" customFormat="false" ht="15" hidden="false" customHeight="true" outlineLevel="0" collapsed="false">
      <c r="A171" s="22"/>
      <c r="B171" s="22"/>
      <c r="C171" s="22"/>
      <c r="D171" s="22"/>
      <c r="E171" s="9"/>
      <c r="F171" s="9"/>
      <c r="G171" s="9"/>
      <c r="H171" s="20"/>
      <c r="I171" s="22"/>
    </row>
    <row r="172" customFormat="false" ht="15" hidden="false" customHeight="true" outlineLevel="0" collapsed="false">
      <c r="A172" s="22"/>
      <c r="B172" s="22"/>
      <c r="C172" s="22"/>
      <c r="D172" s="22"/>
      <c r="E172" s="9"/>
      <c r="F172" s="9"/>
      <c r="G172" s="9"/>
      <c r="H172" s="20"/>
      <c r="I172" s="22"/>
    </row>
    <row r="173" customFormat="false" ht="15" hidden="false" customHeight="true" outlineLevel="0" collapsed="false">
      <c r="A173" s="22"/>
      <c r="B173" s="22"/>
      <c r="C173" s="22"/>
      <c r="D173" s="22"/>
      <c r="E173" s="9"/>
      <c r="F173" s="9"/>
      <c r="G173" s="9"/>
      <c r="H173" s="20"/>
      <c r="I173" s="22"/>
    </row>
    <row r="174" customFormat="false" ht="15" hidden="false" customHeight="true" outlineLevel="0" collapsed="false">
      <c r="A174" s="22"/>
      <c r="B174" s="22"/>
      <c r="C174" s="22"/>
      <c r="D174" s="22"/>
      <c r="E174" s="9"/>
      <c r="F174" s="9"/>
      <c r="G174" s="9"/>
      <c r="H174" s="20"/>
      <c r="I174" s="22"/>
    </row>
    <row r="175" customFormat="false" ht="15" hidden="false" customHeight="true" outlineLevel="0" collapsed="false">
      <c r="A175" s="22"/>
      <c r="B175" s="22"/>
      <c r="C175" s="22"/>
      <c r="D175" s="22"/>
      <c r="E175" s="9"/>
      <c r="F175" s="9"/>
      <c r="G175" s="9"/>
      <c r="H175" s="20"/>
      <c r="I175" s="22"/>
    </row>
    <row r="176" customFormat="false" ht="15" hidden="false" customHeight="true" outlineLevel="0" collapsed="false">
      <c r="A176" s="22"/>
      <c r="B176" s="22"/>
      <c r="C176" s="22"/>
      <c r="D176" s="22"/>
      <c r="E176" s="9"/>
      <c r="F176" s="9"/>
      <c r="G176" s="9"/>
      <c r="H176" s="20"/>
      <c r="I176" s="22"/>
    </row>
    <row r="177" customFormat="false" ht="15" hidden="false" customHeight="true" outlineLevel="0" collapsed="false">
      <c r="A177" s="22"/>
      <c r="B177" s="22"/>
      <c r="C177" s="22"/>
      <c r="D177" s="22"/>
      <c r="E177" s="9"/>
      <c r="F177" s="9"/>
      <c r="G177" s="9"/>
      <c r="H177" s="20"/>
      <c r="I177" s="22"/>
    </row>
    <row r="178" customFormat="false" ht="15" hidden="false" customHeight="true" outlineLevel="0" collapsed="false">
      <c r="A178" s="22"/>
      <c r="B178" s="22"/>
      <c r="C178" s="22"/>
      <c r="D178" s="22"/>
      <c r="E178" s="9"/>
      <c r="F178" s="9"/>
      <c r="G178" s="9"/>
      <c r="H178" s="20"/>
      <c r="I178" s="22"/>
    </row>
    <row r="179" customFormat="false" ht="15" hidden="false" customHeight="true" outlineLevel="0" collapsed="false">
      <c r="A179" s="22"/>
      <c r="B179" s="22"/>
      <c r="C179" s="22"/>
      <c r="D179" s="22"/>
      <c r="E179" s="9"/>
      <c r="F179" s="9"/>
      <c r="G179" s="9"/>
      <c r="H179" s="20"/>
      <c r="I179" s="22"/>
    </row>
    <row r="180" customFormat="false" ht="15" hidden="false" customHeight="true" outlineLevel="0" collapsed="false">
      <c r="A180" s="22"/>
      <c r="B180" s="22"/>
      <c r="C180" s="22"/>
      <c r="D180" s="22"/>
      <c r="E180" s="9"/>
      <c r="F180" s="9"/>
      <c r="G180" s="9"/>
      <c r="H180" s="20"/>
      <c r="I180" s="22"/>
    </row>
    <row r="181" customFormat="false" ht="15" hidden="false" customHeight="true" outlineLevel="0" collapsed="false">
      <c r="A181" s="22"/>
      <c r="B181" s="22"/>
      <c r="C181" s="22"/>
      <c r="D181" s="22"/>
      <c r="E181" s="9"/>
      <c r="F181" s="9"/>
      <c r="G181" s="9"/>
      <c r="H181" s="20"/>
      <c r="I181" s="22"/>
    </row>
    <row r="182" customFormat="false" ht="15" hidden="false" customHeight="true" outlineLevel="0" collapsed="false">
      <c r="A182" s="22"/>
      <c r="B182" s="22"/>
      <c r="C182" s="22"/>
      <c r="D182" s="22"/>
      <c r="E182" s="9"/>
      <c r="F182" s="9"/>
      <c r="G182" s="9"/>
      <c r="H182" s="20"/>
      <c r="I182" s="22"/>
    </row>
    <row r="183" customFormat="false" ht="15" hidden="false" customHeight="true" outlineLevel="0" collapsed="false">
      <c r="A183" s="22"/>
      <c r="B183" s="22"/>
      <c r="C183" s="22"/>
      <c r="D183" s="22"/>
      <c r="E183" s="9"/>
      <c r="F183" s="9"/>
      <c r="G183" s="9"/>
      <c r="H183" s="20"/>
      <c r="I183" s="22"/>
    </row>
    <row r="184" customFormat="false" ht="15" hidden="false" customHeight="true" outlineLevel="0" collapsed="false">
      <c r="A184" s="22"/>
      <c r="B184" s="22"/>
      <c r="C184" s="22"/>
      <c r="D184" s="22"/>
      <c r="E184" s="9"/>
      <c r="F184" s="9"/>
      <c r="G184" s="9"/>
      <c r="H184" s="20"/>
      <c r="I184" s="22"/>
    </row>
    <row r="185" customFormat="false" ht="15" hidden="false" customHeight="true" outlineLevel="0" collapsed="false">
      <c r="A185" s="22"/>
      <c r="B185" s="22"/>
      <c r="C185" s="22"/>
      <c r="D185" s="22"/>
      <c r="E185" s="9"/>
      <c r="F185" s="9"/>
      <c r="G185" s="9"/>
      <c r="H185" s="20"/>
      <c r="I185" s="22"/>
    </row>
    <row r="186" customFormat="false" ht="15" hidden="false" customHeight="true" outlineLevel="0" collapsed="false">
      <c r="A186" s="22"/>
      <c r="B186" s="22"/>
      <c r="C186" s="22"/>
      <c r="D186" s="22"/>
      <c r="E186" s="9"/>
      <c r="F186" s="9"/>
      <c r="G186" s="9"/>
      <c r="H186" s="20"/>
      <c r="I186" s="22"/>
    </row>
    <row r="187" customFormat="false" ht="15" hidden="false" customHeight="true" outlineLevel="0" collapsed="false">
      <c r="A187" s="22"/>
      <c r="B187" s="22"/>
      <c r="C187" s="22"/>
      <c r="D187" s="22"/>
      <c r="E187" s="9"/>
      <c r="F187" s="9"/>
      <c r="G187" s="9"/>
      <c r="H187" s="20"/>
      <c r="I187" s="22"/>
    </row>
    <row r="188" customFormat="false" ht="15" hidden="false" customHeight="true" outlineLevel="0" collapsed="false">
      <c r="A188" s="22"/>
      <c r="B188" s="22"/>
      <c r="C188" s="22"/>
      <c r="D188" s="22"/>
      <c r="E188" s="9"/>
      <c r="F188" s="9"/>
      <c r="G188" s="9"/>
      <c r="H188" s="20"/>
      <c r="I188" s="22"/>
    </row>
    <row r="189" customFormat="false" ht="15" hidden="false" customHeight="true" outlineLevel="0" collapsed="false">
      <c r="A189" s="22"/>
      <c r="B189" s="22"/>
      <c r="C189" s="22"/>
      <c r="D189" s="22"/>
      <c r="E189" s="9"/>
      <c r="F189" s="9"/>
      <c r="G189" s="9"/>
      <c r="H189" s="20"/>
      <c r="I189" s="22"/>
    </row>
    <row r="190" customFormat="false" ht="15" hidden="false" customHeight="true" outlineLevel="0" collapsed="false">
      <c r="A190" s="22"/>
      <c r="B190" s="22"/>
      <c r="C190" s="22"/>
      <c r="D190" s="22"/>
      <c r="E190" s="9"/>
      <c r="F190" s="9"/>
      <c r="G190" s="9"/>
      <c r="H190" s="20"/>
      <c r="I190" s="22"/>
    </row>
    <row r="191" customFormat="false" ht="15" hidden="false" customHeight="true" outlineLevel="0" collapsed="false">
      <c r="A191" s="22"/>
      <c r="B191" s="22"/>
      <c r="C191" s="22"/>
      <c r="D191" s="22"/>
      <c r="E191" s="9"/>
      <c r="F191" s="9"/>
      <c r="G191" s="9"/>
      <c r="H191" s="20"/>
      <c r="I191" s="22"/>
    </row>
    <row r="192" customFormat="false" ht="15" hidden="false" customHeight="true" outlineLevel="0" collapsed="false">
      <c r="A192" s="22"/>
      <c r="B192" s="22"/>
      <c r="C192" s="22"/>
      <c r="D192" s="22"/>
      <c r="E192" s="9"/>
      <c r="F192" s="9"/>
      <c r="G192" s="9"/>
      <c r="H192" s="20"/>
      <c r="I192" s="22"/>
    </row>
    <row r="193" customFormat="false" ht="15" hidden="false" customHeight="true" outlineLevel="0" collapsed="false">
      <c r="A193" s="22"/>
      <c r="B193" s="22"/>
      <c r="C193" s="22"/>
      <c r="D193" s="22"/>
      <c r="E193" s="9"/>
      <c r="F193" s="9"/>
      <c r="G193" s="9"/>
      <c r="H193" s="20"/>
      <c r="I193" s="22"/>
    </row>
    <row r="194" customFormat="false" ht="15" hidden="false" customHeight="true" outlineLevel="0" collapsed="false">
      <c r="A194" s="22"/>
      <c r="B194" s="22"/>
      <c r="C194" s="22"/>
      <c r="D194" s="22"/>
      <c r="E194" s="9"/>
      <c r="F194" s="9"/>
      <c r="G194" s="9"/>
      <c r="H194" s="20"/>
      <c r="I194" s="22"/>
    </row>
    <row r="195" customFormat="false" ht="15" hidden="false" customHeight="true" outlineLevel="0" collapsed="false">
      <c r="A195" s="22"/>
      <c r="B195" s="22"/>
      <c r="C195" s="22"/>
      <c r="D195" s="22"/>
      <c r="E195" s="9"/>
      <c r="F195" s="9"/>
      <c r="G195" s="9"/>
      <c r="H195" s="20"/>
      <c r="I195" s="22"/>
    </row>
    <row r="196" customFormat="false" ht="15" hidden="false" customHeight="true" outlineLevel="0" collapsed="false">
      <c r="A196" s="22"/>
      <c r="B196" s="22"/>
      <c r="C196" s="22"/>
      <c r="D196" s="22"/>
      <c r="E196" s="9"/>
      <c r="F196" s="9"/>
      <c r="G196" s="9"/>
      <c r="H196" s="20"/>
      <c r="I196" s="22"/>
    </row>
    <row r="197" customFormat="false" ht="15" hidden="false" customHeight="true" outlineLevel="0" collapsed="false">
      <c r="A197" s="22"/>
      <c r="B197" s="22"/>
      <c r="C197" s="22"/>
      <c r="D197" s="22"/>
      <c r="E197" s="9"/>
      <c r="F197" s="9"/>
      <c r="G197" s="9"/>
      <c r="H197" s="20"/>
      <c r="I197" s="22"/>
    </row>
    <row r="198" customFormat="false" ht="15" hidden="false" customHeight="true" outlineLevel="0" collapsed="false">
      <c r="A198" s="22"/>
      <c r="B198" s="22"/>
      <c r="C198" s="22"/>
      <c r="D198" s="22"/>
      <c r="E198" s="9"/>
      <c r="F198" s="9"/>
      <c r="G198" s="9"/>
      <c r="H198" s="20"/>
      <c r="I198" s="22"/>
    </row>
    <row r="199" customFormat="false" ht="15" hidden="false" customHeight="true" outlineLevel="0" collapsed="false">
      <c r="A199" s="22"/>
      <c r="B199" s="22"/>
      <c r="C199" s="22"/>
      <c r="D199" s="22"/>
      <c r="E199" s="9"/>
      <c r="F199" s="9"/>
      <c r="G199" s="9"/>
      <c r="H199" s="20"/>
      <c r="I199" s="22"/>
    </row>
    <row r="200" customFormat="false" ht="15" hidden="false" customHeight="true" outlineLevel="0" collapsed="false">
      <c r="A200" s="22"/>
      <c r="B200" s="22"/>
      <c r="C200" s="22"/>
      <c r="D200" s="22"/>
      <c r="E200" s="9"/>
      <c r="F200" s="9"/>
      <c r="G200" s="9"/>
      <c r="H200" s="20"/>
      <c r="I200" s="22"/>
    </row>
    <row r="201" customFormat="false" ht="15" hidden="false" customHeight="true" outlineLevel="0" collapsed="false">
      <c r="A201" s="22"/>
      <c r="B201" s="22"/>
      <c r="C201" s="22"/>
      <c r="D201" s="22"/>
      <c r="E201" s="9"/>
      <c r="F201" s="9"/>
      <c r="G201" s="9"/>
      <c r="H201" s="20"/>
      <c r="I201" s="22"/>
    </row>
    <row r="202" customFormat="false" ht="15" hidden="false" customHeight="true" outlineLevel="0" collapsed="false">
      <c r="A202" s="22"/>
      <c r="B202" s="22"/>
      <c r="C202" s="22"/>
      <c r="D202" s="22"/>
      <c r="E202" s="9"/>
      <c r="F202" s="9"/>
      <c r="G202" s="9"/>
      <c r="H202" s="20"/>
      <c r="I202" s="22"/>
    </row>
    <row r="203" customFormat="false" ht="15" hidden="false" customHeight="true" outlineLevel="0" collapsed="false">
      <c r="A203" s="22"/>
      <c r="B203" s="22"/>
      <c r="C203" s="22"/>
      <c r="D203" s="22"/>
      <c r="E203" s="9"/>
      <c r="F203" s="9"/>
      <c r="G203" s="9"/>
      <c r="H203" s="20"/>
      <c r="I203" s="22"/>
    </row>
    <row r="204" customFormat="false" ht="15" hidden="false" customHeight="true" outlineLevel="0" collapsed="false">
      <c r="A204" s="22"/>
      <c r="B204" s="22"/>
      <c r="C204" s="22"/>
      <c r="D204" s="22"/>
      <c r="E204" s="9"/>
      <c r="F204" s="9"/>
      <c r="G204" s="9"/>
      <c r="H204" s="20"/>
      <c r="I204" s="22"/>
    </row>
    <row r="205" customFormat="false" ht="15" hidden="false" customHeight="true" outlineLevel="0" collapsed="false">
      <c r="A205" s="22"/>
      <c r="B205" s="22"/>
      <c r="C205" s="22"/>
      <c r="D205" s="22"/>
      <c r="E205" s="9"/>
      <c r="F205" s="9"/>
      <c r="G205" s="9"/>
      <c r="H205" s="20"/>
      <c r="I205" s="22"/>
    </row>
    <row r="206" customFormat="false" ht="15" hidden="false" customHeight="true" outlineLevel="0" collapsed="false">
      <c r="A206" s="22"/>
      <c r="B206" s="22"/>
      <c r="C206" s="22"/>
      <c r="D206" s="22"/>
      <c r="E206" s="9"/>
      <c r="F206" s="9"/>
      <c r="G206" s="9"/>
      <c r="H206" s="20"/>
      <c r="I206" s="22"/>
    </row>
    <row r="207" customFormat="false" ht="15" hidden="false" customHeight="true" outlineLevel="0" collapsed="false">
      <c r="A207" s="22"/>
      <c r="B207" s="22"/>
      <c r="C207" s="22"/>
      <c r="D207" s="22"/>
      <c r="E207" s="9"/>
      <c r="F207" s="9"/>
      <c r="G207" s="9"/>
      <c r="H207" s="20"/>
      <c r="I207" s="22"/>
    </row>
    <row r="208" customFormat="false" ht="15" hidden="false" customHeight="true" outlineLevel="0" collapsed="false">
      <c r="A208" s="22"/>
      <c r="B208" s="22"/>
      <c r="C208" s="22"/>
      <c r="D208" s="22"/>
      <c r="E208" s="9"/>
      <c r="F208" s="9"/>
      <c r="G208" s="9"/>
      <c r="H208" s="20"/>
      <c r="I208" s="22"/>
    </row>
    <row r="209" customFormat="false" ht="15" hidden="false" customHeight="true" outlineLevel="0" collapsed="false">
      <c r="A209" s="22"/>
      <c r="B209" s="22"/>
      <c r="C209" s="22"/>
      <c r="D209" s="22"/>
      <c r="E209" s="9"/>
      <c r="F209" s="9"/>
      <c r="G209" s="9"/>
      <c r="H209" s="20"/>
      <c r="I209" s="22"/>
    </row>
    <row r="210" customFormat="false" ht="15" hidden="false" customHeight="true" outlineLevel="0" collapsed="false">
      <c r="A210" s="22"/>
      <c r="B210" s="22"/>
      <c r="C210" s="22"/>
      <c r="D210" s="22"/>
      <c r="E210" s="9"/>
      <c r="F210" s="9"/>
      <c r="G210" s="9"/>
      <c r="H210" s="20"/>
      <c r="I210" s="22"/>
    </row>
    <row r="211" customFormat="false" ht="15" hidden="false" customHeight="true" outlineLevel="0" collapsed="false">
      <c r="A211" s="22"/>
      <c r="B211" s="22"/>
      <c r="C211" s="22"/>
      <c r="D211" s="22"/>
      <c r="E211" s="9"/>
      <c r="F211" s="9"/>
      <c r="G211" s="9"/>
      <c r="H211" s="20"/>
      <c r="I211" s="22"/>
    </row>
    <row r="212" customFormat="false" ht="15" hidden="false" customHeight="true" outlineLevel="0" collapsed="false">
      <c r="A212" s="22"/>
      <c r="B212" s="22"/>
      <c r="C212" s="22"/>
      <c r="D212" s="22"/>
      <c r="E212" s="9"/>
      <c r="F212" s="9"/>
      <c r="G212" s="9"/>
      <c r="H212" s="20"/>
      <c r="I212" s="22"/>
    </row>
    <row r="213" customFormat="false" ht="15" hidden="false" customHeight="true" outlineLevel="0" collapsed="false">
      <c r="A213" s="22"/>
      <c r="B213" s="22"/>
      <c r="C213" s="22"/>
      <c r="D213" s="22"/>
      <c r="E213" s="9"/>
      <c r="F213" s="9"/>
      <c r="G213" s="9"/>
      <c r="H213" s="20"/>
      <c r="I213" s="22"/>
    </row>
    <row r="214" customFormat="false" ht="15" hidden="false" customHeight="true" outlineLevel="0" collapsed="false">
      <c r="A214" s="22"/>
      <c r="B214" s="22"/>
      <c r="C214" s="22"/>
      <c r="D214" s="22"/>
      <c r="E214" s="9"/>
      <c r="F214" s="9"/>
      <c r="G214" s="9"/>
      <c r="H214" s="20"/>
      <c r="I214" s="22"/>
    </row>
    <row r="215" customFormat="false" ht="15" hidden="false" customHeight="true" outlineLevel="0" collapsed="false">
      <c r="A215" s="22"/>
      <c r="B215" s="22"/>
      <c r="C215" s="22"/>
      <c r="D215" s="22"/>
      <c r="E215" s="9"/>
      <c r="F215" s="9"/>
      <c r="G215" s="9"/>
      <c r="H215" s="20"/>
      <c r="I215" s="22"/>
    </row>
    <row r="216" customFormat="false" ht="15" hidden="false" customHeight="true" outlineLevel="0" collapsed="false">
      <c r="A216" s="22"/>
      <c r="B216" s="22"/>
      <c r="C216" s="22"/>
      <c r="D216" s="22"/>
      <c r="E216" s="9"/>
      <c r="F216" s="9"/>
      <c r="G216" s="9"/>
      <c r="H216" s="20"/>
      <c r="I216" s="22"/>
    </row>
    <row r="217" customFormat="false" ht="15" hidden="false" customHeight="true" outlineLevel="0" collapsed="false">
      <c r="A217" s="22"/>
      <c r="B217" s="22"/>
      <c r="C217" s="22"/>
      <c r="D217" s="22"/>
      <c r="E217" s="9"/>
      <c r="F217" s="9"/>
      <c r="G217" s="9"/>
      <c r="H217" s="20"/>
      <c r="I217" s="22"/>
    </row>
    <row r="218" customFormat="false" ht="15" hidden="false" customHeight="true" outlineLevel="0" collapsed="false">
      <c r="A218" s="22"/>
      <c r="B218" s="22"/>
      <c r="C218" s="22"/>
      <c r="D218" s="22"/>
      <c r="E218" s="9"/>
      <c r="F218" s="9"/>
      <c r="G218" s="9"/>
      <c r="H218" s="20"/>
      <c r="I218" s="22"/>
    </row>
    <row r="219" customFormat="false" ht="15" hidden="false" customHeight="true" outlineLevel="0" collapsed="false">
      <c r="A219" s="22"/>
      <c r="B219" s="22"/>
      <c r="C219" s="22"/>
      <c r="D219" s="22"/>
      <c r="E219" s="9"/>
      <c r="F219" s="9"/>
      <c r="G219" s="9"/>
      <c r="H219" s="20"/>
      <c r="I219" s="22"/>
    </row>
    <row r="220" customFormat="false" ht="15" hidden="false" customHeight="true" outlineLevel="0" collapsed="false">
      <c r="A220" s="22"/>
      <c r="B220" s="22"/>
      <c r="C220" s="22"/>
      <c r="D220" s="22"/>
      <c r="E220" s="9"/>
      <c r="F220" s="9"/>
      <c r="G220" s="9"/>
      <c r="H220" s="20"/>
      <c r="I220" s="22"/>
    </row>
    <row r="221" customFormat="false" ht="15" hidden="false" customHeight="true" outlineLevel="0" collapsed="false">
      <c r="A221" s="22"/>
      <c r="B221" s="22"/>
      <c r="C221" s="22"/>
      <c r="D221" s="22"/>
      <c r="E221" s="9"/>
      <c r="F221" s="9"/>
      <c r="G221" s="9"/>
      <c r="H221" s="20"/>
      <c r="I221" s="22"/>
    </row>
    <row r="222" customFormat="false" ht="15" hidden="false" customHeight="true" outlineLevel="0" collapsed="false">
      <c r="A222" s="22"/>
      <c r="B222" s="22"/>
      <c r="C222" s="22"/>
      <c r="D222" s="22"/>
      <c r="E222" s="9"/>
      <c r="F222" s="9"/>
      <c r="G222" s="9"/>
      <c r="H222" s="20"/>
      <c r="I222" s="22"/>
    </row>
    <row r="223" customFormat="false" ht="15" hidden="false" customHeight="true" outlineLevel="0" collapsed="false">
      <c r="A223" s="22"/>
      <c r="B223" s="22"/>
      <c r="C223" s="22"/>
      <c r="D223" s="22"/>
      <c r="E223" s="9"/>
      <c r="F223" s="9"/>
      <c r="G223" s="9"/>
      <c r="H223" s="20"/>
      <c r="I223" s="22"/>
    </row>
    <row r="224" customFormat="false" ht="15" hidden="false" customHeight="true" outlineLevel="0" collapsed="false">
      <c r="A224" s="22"/>
      <c r="B224" s="22"/>
      <c r="C224" s="22"/>
      <c r="D224" s="22"/>
      <c r="E224" s="9"/>
      <c r="F224" s="9"/>
      <c r="G224" s="9"/>
      <c r="H224" s="20"/>
      <c r="I224" s="22"/>
    </row>
    <row r="225" customFormat="false" ht="15" hidden="false" customHeight="true" outlineLevel="0" collapsed="false">
      <c r="A225" s="22"/>
      <c r="B225" s="22"/>
      <c r="C225" s="22"/>
      <c r="D225" s="22"/>
      <c r="E225" s="9"/>
      <c r="F225" s="9"/>
      <c r="G225" s="9"/>
      <c r="H225" s="20"/>
      <c r="I225" s="22"/>
    </row>
    <row r="226" customFormat="false" ht="15" hidden="false" customHeight="true" outlineLevel="0" collapsed="false">
      <c r="A226" s="22"/>
      <c r="B226" s="22"/>
      <c r="C226" s="22"/>
      <c r="D226" s="22"/>
      <c r="E226" s="9"/>
      <c r="F226" s="9"/>
      <c r="G226" s="9"/>
      <c r="H226" s="20"/>
      <c r="I226" s="22"/>
    </row>
    <row r="227" customFormat="false" ht="15" hidden="false" customHeight="true" outlineLevel="0" collapsed="false">
      <c r="A227" s="22"/>
      <c r="B227" s="22"/>
      <c r="C227" s="22"/>
      <c r="D227" s="22"/>
      <c r="E227" s="9"/>
      <c r="F227" s="9"/>
      <c r="G227" s="9"/>
      <c r="H227" s="20"/>
      <c r="I227" s="22"/>
    </row>
    <row r="228" customFormat="false" ht="15" hidden="false" customHeight="true" outlineLevel="0" collapsed="false">
      <c r="A228" s="22"/>
      <c r="B228" s="22"/>
      <c r="C228" s="22"/>
      <c r="D228" s="22"/>
      <c r="E228" s="9"/>
      <c r="F228" s="9"/>
      <c r="G228" s="9"/>
      <c r="H228" s="20"/>
      <c r="I228" s="22"/>
    </row>
    <row r="229" customFormat="false" ht="15" hidden="false" customHeight="true" outlineLevel="0" collapsed="false">
      <c r="A229" s="22"/>
      <c r="B229" s="22"/>
      <c r="C229" s="22"/>
      <c r="D229" s="22"/>
      <c r="E229" s="9"/>
      <c r="F229" s="9"/>
      <c r="G229" s="9"/>
      <c r="H229" s="20"/>
      <c r="I229" s="22"/>
    </row>
    <row r="230" customFormat="false" ht="15" hidden="false" customHeight="true" outlineLevel="0" collapsed="false">
      <c r="A230" s="22"/>
      <c r="B230" s="22"/>
      <c r="C230" s="22"/>
      <c r="D230" s="22"/>
      <c r="E230" s="9"/>
      <c r="F230" s="9"/>
      <c r="G230" s="9"/>
      <c r="H230" s="20"/>
      <c r="I230" s="22"/>
    </row>
    <row r="231" customFormat="false" ht="15" hidden="false" customHeight="true" outlineLevel="0" collapsed="false">
      <c r="A231" s="22"/>
      <c r="B231" s="22"/>
      <c r="C231" s="22"/>
      <c r="D231" s="22"/>
      <c r="E231" s="9"/>
      <c r="F231" s="9"/>
      <c r="G231" s="9"/>
      <c r="H231" s="20"/>
      <c r="I231" s="22"/>
    </row>
    <row r="232" customFormat="false" ht="15" hidden="false" customHeight="true" outlineLevel="0" collapsed="false">
      <c r="A232" s="22"/>
      <c r="B232" s="22"/>
      <c r="C232" s="22"/>
      <c r="D232" s="22"/>
      <c r="E232" s="9"/>
      <c r="F232" s="9"/>
      <c r="G232" s="9"/>
      <c r="H232" s="20"/>
      <c r="I232" s="22"/>
    </row>
    <row r="233" customFormat="false" ht="15" hidden="false" customHeight="true" outlineLevel="0" collapsed="false">
      <c r="A233" s="22"/>
      <c r="B233" s="22"/>
      <c r="C233" s="22"/>
      <c r="D233" s="22"/>
      <c r="E233" s="9"/>
      <c r="F233" s="9"/>
      <c r="G233" s="9"/>
      <c r="H233" s="20"/>
      <c r="I233" s="22"/>
    </row>
    <row r="234" customFormat="false" ht="15" hidden="false" customHeight="true" outlineLevel="0" collapsed="false">
      <c r="A234" s="22"/>
      <c r="B234" s="22"/>
      <c r="C234" s="22"/>
      <c r="D234" s="22"/>
      <c r="E234" s="9"/>
      <c r="F234" s="9"/>
      <c r="G234" s="9"/>
      <c r="H234" s="20"/>
      <c r="I234" s="22"/>
    </row>
    <row r="235" customFormat="false" ht="15" hidden="false" customHeight="true" outlineLevel="0" collapsed="false">
      <c r="A235" s="22"/>
      <c r="B235" s="22"/>
      <c r="C235" s="22"/>
      <c r="D235" s="22"/>
      <c r="E235" s="9"/>
      <c r="F235" s="9"/>
      <c r="G235" s="9"/>
      <c r="H235" s="20"/>
      <c r="I235" s="22"/>
    </row>
    <row r="236" customFormat="false" ht="15" hidden="false" customHeight="true" outlineLevel="0" collapsed="false">
      <c r="A236" s="22"/>
      <c r="B236" s="22"/>
      <c r="C236" s="22"/>
      <c r="D236" s="22"/>
      <c r="E236" s="9"/>
      <c r="F236" s="9"/>
      <c r="G236" s="9"/>
      <c r="H236" s="20"/>
      <c r="I236" s="22"/>
    </row>
    <row r="237" customFormat="false" ht="15" hidden="false" customHeight="true" outlineLevel="0" collapsed="false">
      <c r="A237" s="22"/>
      <c r="B237" s="22"/>
      <c r="C237" s="22"/>
      <c r="D237" s="22"/>
      <c r="E237" s="9"/>
      <c r="F237" s="9"/>
      <c r="G237" s="9"/>
      <c r="H237" s="20"/>
      <c r="I237" s="22"/>
    </row>
    <row r="238" customFormat="false" ht="15" hidden="false" customHeight="true" outlineLevel="0" collapsed="false">
      <c r="A238" s="22"/>
      <c r="B238" s="22"/>
      <c r="C238" s="22"/>
      <c r="D238" s="22"/>
      <c r="E238" s="9"/>
      <c r="F238" s="9"/>
      <c r="G238" s="9"/>
      <c r="H238" s="20"/>
      <c r="I238" s="22"/>
    </row>
    <row r="239" customFormat="false" ht="15" hidden="false" customHeight="true" outlineLevel="0" collapsed="false">
      <c r="A239" s="22"/>
      <c r="B239" s="22"/>
      <c r="C239" s="22"/>
      <c r="D239" s="22"/>
      <c r="E239" s="9"/>
      <c r="F239" s="9"/>
      <c r="G239" s="9"/>
      <c r="H239" s="20"/>
      <c r="I239" s="22"/>
    </row>
    <row r="240" customFormat="false" ht="15" hidden="false" customHeight="true" outlineLevel="0" collapsed="false">
      <c r="A240" s="22"/>
      <c r="B240" s="22"/>
      <c r="C240" s="22"/>
      <c r="D240" s="22"/>
      <c r="E240" s="9"/>
      <c r="F240" s="9"/>
      <c r="G240" s="9"/>
      <c r="H240" s="20"/>
      <c r="I240" s="22"/>
    </row>
    <row r="241" customFormat="false" ht="15" hidden="false" customHeight="true" outlineLevel="0" collapsed="false">
      <c r="A241" s="22"/>
      <c r="B241" s="22"/>
      <c r="C241" s="22"/>
      <c r="D241" s="22"/>
      <c r="E241" s="9"/>
      <c r="F241" s="9"/>
      <c r="G241" s="9"/>
      <c r="H241" s="20"/>
      <c r="I241" s="22"/>
    </row>
    <row r="242" customFormat="false" ht="15" hidden="false" customHeight="true" outlineLevel="0" collapsed="false">
      <c r="A242" s="22"/>
      <c r="B242" s="22"/>
      <c r="C242" s="22"/>
      <c r="D242" s="22"/>
      <c r="E242" s="9"/>
      <c r="F242" s="9"/>
      <c r="G242" s="9"/>
      <c r="H242" s="20"/>
      <c r="I242" s="22"/>
    </row>
    <row r="243" customFormat="false" ht="15" hidden="false" customHeight="true" outlineLevel="0" collapsed="false">
      <c r="A243" s="22"/>
      <c r="B243" s="22"/>
      <c r="C243" s="22"/>
      <c r="D243" s="22"/>
      <c r="E243" s="9"/>
      <c r="F243" s="9"/>
      <c r="G243" s="9"/>
      <c r="H243" s="20"/>
      <c r="I243" s="22"/>
    </row>
    <row r="244" customFormat="false" ht="15" hidden="false" customHeight="true" outlineLevel="0" collapsed="false">
      <c r="A244" s="22"/>
      <c r="B244" s="22"/>
      <c r="C244" s="22"/>
      <c r="D244" s="22"/>
      <c r="E244" s="9"/>
      <c r="F244" s="9"/>
      <c r="G244" s="9"/>
      <c r="H244" s="20"/>
      <c r="I244" s="22"/>
    </row>
    <row r="245" customFormat="false" ht="15" hidden="false" customHeight="true" outlineLevel="0" collapsed="false">
      <c r="A245" s="22"/>
      <c r="B245" s="22"/>
      <c r="C245" s="22"/>
      <c r="D245" s="22"/>
      <c r="E245" s="9"/>
      <c r="F245" s="9"/>
      <c r="G245" s="9"/>
      <c r="H245" s="20"/>
      <c r="I245" s="22"/>
    </row>
    <row r="246" customFormat="false" ht="15" hidden="false" customHeight="true" outlineLevel="0" collapsed="false">
      <c r="A246" s="22"/>
      <c r="B246" s="22"/>
      <c r="C246" s="22"/>
      <c r="D246" s="22"/>
      <c r="E246" s="9"/>
      <c r="F246" s="9"/>
      <c r="G246" s="9"/>
      <c r="H246" s="20"/>
      <c r="I246" s="22"/>
    </row>
    <row r="247" customFormat="false" ht="15" hidden="false" customHeight="true" outlineLevel="0" collapsed="false">
      <c r="A247" s="22"/>
      <c r="B247" s="22"/>
      <c r="C247" s="22"/>
      <c r="D247" s="22"/>
      <c r="E247" s="9"/>
      <c r="F247" s="9"/>
      <c r="G247" s="9"/>
      <c r="H247" s="20"/>
      <c r="I247" s="22"/>
    </row>
    <row r="248" customFormat="false" ht="15" hidden="false" customHeight="true" outlineLevel="0" collapsed="false">
      <c r="A248" s="22"/>
      <c r="B248" s="22"/>
      <c r="C248" s="22"/>
      <c r="D248" s="22"/>
      <c r="E248" s="9"/>
      <c r="F248" s="9"/>
      <c r="G248" s="9"/>
      <c r="H248" s="20"/>
      <c r="I248" s="22"/>
    </row>
    <row r="249" customFormat="false" ht="15" hidden="false" customHeight="true" outlineLevel="0" collapsed="false">
      <c r="A249" s="22"/>
      <c r="B249" s="22"/>
      <c r="C249" s="22"/>
      <c r="D249" s="22"/>
      <c r="E249" s="9"/>
      <c r="F249" s="9"/>
      <c r="G249" s="9"/>
      <c r="H249" s="20"/>
      <c r="I249" s="22"/>
    </row>
    <row r="250" customFormat="false" ht="15" hidden="false" customHeight="true" outlineLevel="0" collapsed="false">
      <c r="A250" s="22"/>
      <c r="B250" s="22"/>
      <c r="C250" s="22"/>
      <c r="D250" s="22"/>
      <c r="E250" s="9"/>
      <c r="F250" s="9"/>
      <c r="G250" s="9"/>
      <c r="H250" s="20"/>
      <c r="I250" s="22"/>
    </row>
    <row r="251" customFormat="false" ht="15" hidden="false" customHeight="true" outlineLevel="0" collapsed="false">
      <c r="A251" s="22"/>
      <c r="B251" s="22"/>
      <c r="C251" s="22"/>
      <c r="D251" s="22"/>
      <c r="E251" s="9"/>
      <c r="F251" s="9"/>
      <c r="G251" s="9"/>
      <c r="H251" s="20"/>
      <c r="I251" s="22"/>
    </row>
    <row r="252" customFormat="false" ht="15" hidden="false" customHeight="true" outlineLevel="0" collapsed="false">
      <c r="A252" s="22"/>
      <c r="B252" s="22"/>
      <c r="C252" s="22"/>
      <c r="D252" s="22"/>
      <c r="E252" s="9"/>
      <c r="F252" s="9"/>
      <c r="G252" s="9"/>
      <c r="H252" s="20"/>
      <c r="I252" s="22"/>
    </row>
    <row r="253" customFormat="false" ht="15" hidden="false" customHeight="true" outlineLevel="0" collapsed="false">
      <c r="A253" s="22"/>
      <c r="B253" s="22"/>
      <c r="C253" s="22"/>
      <c r="D253" s="22"/>
      <c r="E253" s="9"/>
      <c r="F253" s="9"/>
      <c r="G253" s="9"/>
      <c r="H253" s="20"/>
      <c r="I253" s="22"/>
    </row>
    <row r="254" customFormat="false" ht="15" hidden="false" customHeight="true" outlineLevel="0" collapsed="false">
      <c r="A254" s="22"/>
      <c r="B254" s="22"/>
      <c r="C254" s="22"/>
      <c r="D254" s="22"/>
      <c r="E254" s="9"/>
      <c r="F254" s="9"/>
      <c r="G254" s="9"/>
      <c r="H254" s="20"/>
      <c r="I254" s="22"/>
    </row>
    <row r="255" customFormat="false" ht="15" hidden="false" customHeight="true" outlineLevel="0" collapsed="false">
      <c r="A255" s="22"/>
      <c r="B255" s="22"/>
      <c r="C255" s="22"/>
      <c r="D255" s="22"/>
      <c r="E255" s="9"/>
      <c r="F255" s="9"/>
      <c r="G255" s="9"/>
      <c r="H255" s="20"/>
      <c r="I255" s="22"/>
    </row>
    <row r="256" customFormat="false" ht="15" hidden="false" customHeight="true" outlineLevel="0" collapsed="false">
      <c r="A256" s="22"/>
      <c r="B256" s="22"/>
      <c r="C256" s="22"/>
      <c r="D256" s="22"/>
      <c r="E256" s="9"/>
      <c r="F256" s="9"/>
      <c r="G256" s="9"/>
      <c r="H256" s="20"/>
      <c r="I256" s="22"/>
    </row>
    <row r="257" customFormat="false" ht="15" hidden="false" customHeight="true" outlineLevel="0" collapsed="false">
      <c r="A257" s="22"/>
      <c r="B257" s="22"/>
      <c r="C257" s="22"/>
      <c r="D257" s="22"/>
      <c r="E257" s="9"/>
      <c r="F257" s="9"/>
      <c r="G257" s="9"/>
      <c r="H257" s="20"/>
      <c r="I257" s="22"/>
    </row>
    <row r="258" customFormat="false" ht="15" hidden="false" customHeight="true" outlineLevel="0" collapsed="false">
      <c r="A258" s="22"/>
      <c r="B258" s="22"/>
      <c r="C258" s="22"/>
      <c r="D258" s="22"/>
      <c r="E258" s="9"/>
      <c r="F258" s="9"/>
      <c r="G258" s="9"/>
      <c r="H258" s="20"/>
      <c r="I258" s="22"/>
    </row>
    <row r="259" customFormat="false" ht="15" hidden="false" customHeight="true" outlineLevel="0" collapsed="false">
      <c r="A259" s="22"/>
      <c r="B259" s="22"/>
      <c r="C259" s="22"/>
      <c r="D259" s="22"/>
      <c r="E259" s="9"/>
      <c r="F259" s="9"/>
      <c r="G259" s="9"/>
      <c r="H259" s="20"/>
      <c r="I259" s="22"/>
    </row>
    <row r="260" customFormat="false" ht="15" hidden="false" customHeight="true" outlineLevel="0" collapsed="false">
      <c r="A260" s="22"/>
      <c r="B260" s="22"/>
      <c r="C260" s="22"/>
      <c r="D260" s="22"/>
      <c r="E260" s="9"/>
      <c r="F260" s="9"/>
      <c r="G260" s="9"/>
      <c r="H260" s="20"/>
      <c r="I260" s="22"/>
    </row>
    <row r="261" customFormat="false" ht="15" hidden="false" customHeight="true" outlineLevel="0" collapsed="false">
      <c r="A261" s="22"/>
      <c r="B261" s="22"/>
      <c r="C261" s="22"/>
      <c r="D261" s="22"/>
      <c r="E261" s="9"/>
      <c r="F261" s="9"/>
      <c r="G261" s="9"/>
      <c r="H261" s="20"/>
      <c r="I261" s="22"/>
    </row>
    <row r="262" customFormat="false" ht="15" hidden="false" customHeight="true" outlineLevel="0" collapsed="false">
      <c r="A262" s="22"/>
      <c r="B262" s="22"/>
      <c r="C262" s="22"/>
      <c r="D262" s="22"/>
      <c r="E262" s="9"/>
      <c r="F262" s="9"/>
      <c r="G262" s="9"/>
      <c r="H262" s="20"/>
      <c r="I262" s="22"/>
    </row>
    <row r="263" customFormat="false" ht="15" hidden="false" customHeight="true" outlineLevel="0" collapsed="false">
      <c r="A263" s="22"/>
      <c r="B263" s="22"/>
      <c r="C263" s="22"/>
      <c r="D263" s="22"/>
      <c r="E263" s="9"/>
      <c r="F263" s="9"/>
      <c r="G263" s="9"/>
      <c r="H263" s="20"/>
      <c r="I263" s="22"/>
    </row>
    <row r="264" customFormat="false" ht="15" hidden="false" customHeight="true" outlineLevel="0" collapsed="false">
      <c r="A264" s="22"/>
      <c r="B264" s="22"/>
      <c r="C264" s="22"/>
      <c r="D264" s="22"/>
      <c r="E264" s="9"/>
      <c r="F264" s="9"/>
      <c r="G264" s="9"/>
      <c r="H264" s="20"/>
      <c r="I264" s="22"/>
    </row>
    <row r="265" customFormat="false" ht="15" hidden="false" customHeight="true" outlineLevel="0" collapsed="false">
      <c r="A265" s="22"/>
      <c r="B265" s="22"/>
      <c r="C265" s="22"/>
      <c r="D265" s="22"/>
      <c r="E265" s="9"/>
      <c r="F265" s="9"/>
      <c r="G265" s="9"/>
      <c r="H265" s="20"/>
      <c r="I265" s="22"/>
    </row>
    <row r="266" customFormat="false" ht="15" hidden="false" customHeight="true" outlineLevel="0" collapsed="false">
      <c r="A266" s="22"/>
      <c r="B266" s="22"/>
      <c r="C266" s="22"/>
      <c r="D266" s="22"/>
      <c r="E266" s="9"/>
      <c r="F266" s="9"/>
      <c r="G266" s="9"/>
      <c r="H266" s="20"/>
      <c r="I266" s="22"/>
    </row>
    <row r="267" customFormat="false" ht="15" hidden="false" customHeight="true" outlineLevel="0" collapsed="false">
      <c r="A267" s="22"/>
      <c r="B267" s="22"/>
      <c r="C267" s="22"/>
      <c r="D267" s="22"/>
      <c r="E267" s="9"/>
      <c r="F267" s="9"/>
      <c r="G267" s="9"/>
      <c r="H267" s="20"/>
      <c r="I267" s="22"/>
    </row>
    <row r="268" customFormat="false" ht="15" hidden="false" customHeight="true" outlineLevel="0" collapsed="false">
      <c r="A268" s="22"/>
      <c r="B268" s="22"/>
      <c r="C268" s="22"/>
      <c r="D268" s="22"/>
      <c r="E268" s="9"/>
      <c r="F268" s="9"/>
      <c r="G268" s="9"/>
      <c r="H268" s="20"/>
      <c r="I268" s="22"/>
    </row>
    <row r="269" customFormat="false" ht="15" hidden="false" customHeight="true" outlineLevel="0" collapsed="false">
      <c r="A269" s="22"/>
      <c r="B269" s="22"/>
      <c r="C269" s="22"/>
      <c r="D269" s="22"/>
      <c r="E269" s="9"/>
      <c r="F269" s="9"/>
      <c r="G269" s="9"/>
      <c r="H269" s="20"/>
      <c r="I269" s="22"/>
    </row>
    <row r="270" customFormat="false" ht="15" hidden="false" customHeight="true" outlineLevel="0" collapsed="false">
      <c r="A270" s="22"/>
      <c r="B270" s="22"/>
      <c r="C270" s="22"/>
      <c r="D270" s="22"/>
      <c r="E270" s="9"/>
      <c r="F270" s="9"/>
      <c r="G270" s="9"/>
      <c r="H270" s="20"/>
      <c r="I270" s="22"/>
    </row>
    <row r="271" customFormat="false" ht="15" hidden="false" customHeight="true" outlineLevel="0" collapsed="false">
      <c r="A271" s="22"/>
      <c r="B271" s="22"/>
      <c r="C271" s="22"/>
      <c r="D271" s="22"/>
      <c r="E271" s="9"/>
      <c r="F271" s="9"/>
      <c r="G271" s="9"/>
      <c r="H271" s="20"/>
      <c r="I271" s="22"/>
    </row>
    <row r="272" customFormat="false" ht="15" hidden="false" customHeight="true" outlineLevel="0" collapsed="false">
      <c r="A272" s="22"/>
      <c r="B272" s="22"/>
      <c r="C272" s="22"/>
      <c r="D272" s="22"/>
      <c r="E272" s="9"/>
      <c r="F272" s="9"/>
      <c r="G272" s="9"/>
      <c r="H272" s="20"/>
      <c r="I272" s="22"/>
    </row>
    <row r="273" customFormat="false" ht="15" hidden="false" customHeight="true" outlineLevel="0" collapsed="false">
      <c r="A273" s="22"/>
      <c r="B273" s="22"/>
      <c r="C273" s="22"/>
      <c r="D273" s="22"/>
      <c r="E273" s="9"/>
      <c r="F273" s="9"/>
      <c r="G273" s="9"/>
      <c r="H273" s="20"/>
      <c r="I273" s="22"/>
    </row>
    <row r="274" customFormat="false" ht="15" hidden="false" customHeight="true" outlineLevel="0" collapsed="false">
      <c r="A274" s="22"/>
      <c r="B274" s="22"/>
      <c r="C274" s="22"/>
      <c r="D274" s="22"/>
      <c r="E274" s="9"/>
      <c r="F274" s="9"/>
      <c r="G274" s="9"/>
      <c r="H274" s="20"/>
      <c r="I274" s="22"/>
    </row>
    <row r="275" customFormat="false" ht="15" hidden="false" customHeight="true" outlineLevel="0" collapsed="false">
      <c r="A275" s="22"/>
      <c r="B275" s="22"/>
      <c r="C275" s="22"/>
      <c r="D275" s="22"/>
      <c r="E275" s="9"/>
      <c r="F275" s="9"/>
      <c r="G275" s="9"/>
      <c r="H275" s="20"/>
      <c r="I275" s="22"/>
    </row>
    <row r="276" customFormat="false" ht="15" hidden="false" customHeight="true" outlineLevel="0" collapsed="false">
      <c r="A276" s="22"/>
      <c r="B276" s="22"/>
      <c r="C276" s="22"/>
      <c r="D276" s="22"/>
      <c r="E276" s="9"/>
      <c r="F276" s="9"/>
      <c r="G276" s="9"/>
      <c r="H276" s="20"/>
      <c r="I276" s="22"/>
    </row>
    <row r="277" customFormat="false" ht="15" hidden="false" customHeight="true" outlineLevel="0" collapsed="false">
      <c r="A277" s="22"/>
      <c r="B277" s="22"/>
      <c r="C277" s="22"/>
      <c r="D277" s="22"/>
      <c r="E277" s="9"/>
      <c r="F277" s="9"/>
      <c r="G277" s="9"/>
      <c r="H277" s="20"/>
      <c r="I277" s="22"/>
    </row>
    <row r="278" customFormat="false" ht="15" hidden="false" customHeight="true" outlineLevel="0" collapsed="false">
      <c r="A278" s="22"/>
      <c r="B278" s="22"/>
      <c r="C278" s="22"/>
      <c r="D278" s="22"/>
      <c r="E278" s="9"/>
      <c r="F278" s="9"/>
      <c r="G278" s="9"/>
      <c r="H278" s="20"/>
      <c r="I278" s="22"/>
    </row>
    <row r="279" customFormat="false" ht="15" hidden="false" customHeight="true" outlineLevel="0" collapsed="false">
      <c r="A279" s="22"/>
      <c r="B279" s="22"/>
      <c r="C279" s="22"/>
      <c r="D279" s="22"/>
      <c r="E279" s="9"/>
      <c r="F279" s="9"/>
      <c r="G279" s="9"/>
      <c r="H279" s="20"/>
      <c r="I279" s="22"/>
    </row>
    <row r="280" customFormat="false" ht="15" hidden="false" customHeight="true" outlineLevel="0" collapsed="false">
      <c r="A280" s="22"/>
      <c r="B280" s="22"/>
      <c r="C280" s="22"/>
      <c r="D280" s="22"/>
      <c r="E280" s="9"/>
      <c r="F280" s="9"/>
      <c r="G280" s="9"/>
      <c r="H280" s="20"/>
      <c r="I280" s="22"/>
    </row>
    <row r="281" customFormat="false" ht="15" hidden="false" customHeight="true" outlineLevel="0" collapsed="false">
      <c r="A281" s="22"/>
      <c r="B281" s="22"/>
      <c r="C281" s="22"/>
      <c r="D281" s="22"/>
      <c r="E281" s="9"/>
      <c r="F281" s="9"/>
      <c r="G281" s="9"/>
      <c r="H281" s="20"/>
      <c r="I281" s="22"/>
    </row>
    <row r="282" customFormat="false" ht="15" hidden="false" customHeight="true" outlineLevel="0" collapsed="false">
      <c r="A282" s="22"/>
      <c r="B282" s="22"/>
      <c r="C282" s="22"/>
      <c r="D282" s="22"/>
      <c r="E282" s="9"/>
      <c r="F282" s="9"/>
      <c r="G282" s="9"/>
      <c r="H282" s="20"/>
      <c r="I282" s="22"/>
    </row>
    <row r="283" customFormat="false" ht="15" hidden="false" customHeight="true" outlineLevel="0" collapsed="false">
      <c r="A283" s="22"/>
      <c r="B283" s="22"/>
      <c r="C283" s="22"/>
      <c r="D283" s="22"/>
      <c r="E283" s="9"/>
      <c r="F283" s="9"/>
      <c r="G283" s="9"/>
      <c r="H283" s="20"/>
      <c r="I283" s="22"/>
    </row>
    <row r="284" customFormat="false" ht="15" hidden="false" customHeight="true" outlineLevel="0" collapsed="false">
      <c r="A284" s="22"/>
      <c r="B284" s="22"/>
      <c r="C284" s="22"/>
      <c r="D284" s="22"/>
      <c r="E284" s="9"/>
      <c r="F284" s="9"/>
      <c r="G284" s="9"/>
      <c r="H284" s="20"/>
      <c r="I284" s="22"/>
    </row>
    <row r="285" customFormat="false" ht="15" hidden="false" customHeight="true" outlineLevel="0" collapsed="false">
      <c r="A285" s="22"/>
      <c r="B285" s="22"/>
      <c r="C285" s="22"/>
      <c r="D285" s="22"/>
      <c r="E285" s="9"/>
      <c r="F285" s="9"/>
      <c r="G285" s="9"/>
      <c r="H285" s="20"/>
      <c r="I285" s="22"/>
    </row>
    <row r="286" customFormat="false" ht="15" hidden="false" customHeight="true" outlineLevel="0" collapsed="false">
      <c r="A286" s="22"/>
      <c r="B286" s="22"/>
      <c r="C286" s="22"/>
      <c r="D286" s="22"/>
      <c r="E286" s="9"/>
      <c r="F286" s="9"/>
      <c r="G286" s="9"/>
      <c r="H286" s="20"/>
      <c r="I286" s="22"/>
    </row>
    <row r="287" customFormat="false" ht="15" hidden="false" customHeight="true" outlineLevel="0" collapsed="false">
      <c r="A287" s="22"/>
      <c r="B287" s="22"/>
      <c r="C287" s="22"/>
      <c r="D287" s="22"/>
      <c r="E287" s="9"/>
      <c r="F287" s="9"/>
      <c r="G287" s="9"/>
      <c r="H287" s="20"/>
      <c r="I287" s="22"/>
    </row>
    <row r="288" customFormat="false" ht="15" hidden="false" customHeight="true" outlineLevel="0" collapsed="false">
      <c r="A288" s="22"/>
      <c r="B288" s="22"/>
      <c r="C288" s="22"/>
      <c r="D288" s="22"/>
      <c r="E288" s="9"/>
      <c r="F288" s="9"/>
      <c r="G288" s="9"/>
      <c r="H288" s="20"/>
      <c r="I288" s="22"/>
    </row>
    <row r="289" customFormat="false" ht="15" hidden="false" customHeight="true" outlineLevel="0" collapsed="false">
      <c r="A289" s="22"/>
      <c r="B289" s="22"/>
      <c r="C289" s="22"/>
      <c r="D289" s="22"/>
      <c r="E289" s="9"/>
      <c r="F289" s="9"/>
      <c r="G289" s="9"/>
      <c r="H289" s="20"/>
      <c r="I289" s="22"/>
    </row>
    <row r="290" customFormat="false" ht="15" hidden="false" customHeight="true" outlineLevel="0" collapsed="false">
      <c r="A290" s="22"/>
      <c r="B290" s="22"/>
      <c r="C290" s="22"/>
      <c r="D290" s="22"/>
      <c r="E290" s="9"/>
      <c r="F290" s="9"/>
      <c r="G290" s="9"/>
      <c r="H290" s="20"/>
      <c r="I290" s="22"/>
    </row>
    <row r="291" customFormat="false" ht="15" hidden="false" customHeight="true" outlineLevel="0" collapsed="false">
      <c r="A291" s="22"/>
      <c r="B291" s="22"/>
      <c r="C291" s="22"/>
      <c r="D291" s="22"/>
      <c r="E291" s="9"/>
      <c r="F291" s="9"/>
      <c r="G291" s="9"/>
      <c r="H291" s="20"/>
      <c r="I291" s="22"/>
    </row>
    <row r="292" customFormat="false" ht="15" hidden="false" customHeight="true" outlineLevel="0" collapsed="false">
      <c r="A292" s="22"/>
      <c r="B292" s="22"/>
      <c r="C292" s="22"/>
      <c r="D292" s="22"/>
      <c r="E292" s="9"/>
      <c r="F292" s="9"/>
      <c r="G292" s="9"/>
      <c r="H292" s="20"/>
      <c r="I292" s="22"/>
    </row>
    <row r="293" customFormat="false" ht="15" hidden="false" customHeight="true" outlineLevel="0" collapsed="false">
      <c r="A293" s="22"/>
      <c r="B293" s="22"/>
      <c r="C293" s="22"/>
      <c r="D293" s="22"/>
      <c r="E293" s="9"/>
      <c r="F293" s="9"/>
      <c r="G293" s="9"/>
      <c r="H293" s="20"/>
      <c r="I293" s="22"/>
    </row>
    <row r="294" customFormat="false" ht="15" hidden="false" customHeight="true" outlineLevel="0" collapsed="false">
      <c r="A294" s="22"/>
      <c r="B294" s="22"/>
      <c r="C294" s="22"/>
      <c r="D294" s="22"/>
      <c r="E294" s="9"/>
      <c r="F294" s="9"/>
      <c r="G294" s="9"/>
      <c r="H294" s="20"/>
      <c r="I294" s="22"/>
    </row>
    <row r="295" customFormat="false" ht="15" hidden="false" customHeight="true" outlineLevel="0" collapsed="false">
      <c r="A295" s="22"/>
      <c r="B295" s="22"/>
      <c r="C295" s="22"/>
      <c r="D295" s="22"/>
      <c r="E295" s="9"/>
      <c r="F295" s="9"/>
      <c r="G295" s="9"/>
      <c r="H295" s="20"/>
      <c r="I295" s="22"/>
    </row>
    <row r="296" customFormat="false" ht="15" hidden="false" customHeight="true" outlineLevel="0" collapsed="false">
      <c r="A296" s="22"/>
      <c r="B296" s="22"/>
      <c r="C296" s="22"/>
      <c r="D296" s="22"/>
      <c r="E296" s="9"/>
      <c r="F296" s="9"/>
      <c r="G296" s="9"/>
      <c r="H296" s="20"/>
      <c r="I296" s="22"/>
    </row>
    <row r="297" customFormat="false" ht="15" hidden="false" customHeight="true" outlineLevel="0" collapsed="false">
      <c r="A297" s="22"/>
      <c r="B297" s="22"/>
      <c r="C297" s="22"/>
      <c r="D297" s="22"/>
      <c r="E297" s="9"/>
      <c r="F297" s="9"/>
      <c r="G297" s="9"/>
      <c r="H297" s="20"/>
      <c r="I297" s="22"/>
    </row>
    <row r="298" customFormat="false" ht="15" hidden="false" customHeight="true" outlineLevel="0" collapsed="false">
      <c r="A298" s="22"/>
      <c r="B298" s="22"/>
      <c r="C298" s="22"/>
      <c r="D298" s="22"/>
      <c r="E298" s="9"/>
      <c r="F298" s="9"/>
      <c r="G298" s="9"/>
      <c r="H298" s="20"/>
      <c r="I298" s="22"/>
    </row>
    <row r="299" customFormat="false" ht="15" hidden="false" customHeight="true" outlineLevel="0" collapsed="false">
      <c r="A299" s="22"/>
      <c r="B299" s="22"/>
      <c r="C299" s="22"/>
      <c r="D299" s="22"/>
      <c r="E299" s="9"/>
      <c r="F299" s="9"/>
      <c r="G299" s="9"/>
      <c r="H299" s="20"/>
      <c r="I299" s="22"/>
    </row>
    <row r="300" customFormat="false" ht="15" hidden="false" customHeight="true" outlineLevel="0" collapsed="false">
      <c r="A300" s="22"/>
      <c r="B300" s="22"/>
      <c r="C300" s="22"/>
      <c r="D300" s="22"/>
      <c r="E300" s="9"/>
      <c r="F300" s="9"/>
      <c r="G300" s="9"/>
      <c r="H300" s="20"/>
      <c r="I300" s="22"/>
    </row>
    <row r="301" customFormat="false" ht="15" hidden="false" customHeight="true" outlineLevel="0" collapsed="false">
      <c r="A301" s="22"/>
      <c r="B301" s="22"/>
      <c r="C301" s="22"/>
      <c r="D301" s="22"/>
      <c r="E301" s="9"/>
      <c r="F301" s="9"/>
      <c r="G301" s="9"/>
      <c r="H301" s="20"/>
      <c r="I301" s="22"/>
    </row>
    <row r="302" customFormat="false" ht="15" hidden="false" customHeight="true" outlineLevel="0" collapsed="false">
      <c r="A302" s="22"/>
      <c r="B302" s="22"/>
      <c r="C302" s="22"/>
      <c r="D302" s="22"/>
      <c r="E302" s="9"/>
      <c r="F302" s="9"/>
      <c r="G302" s="9"/>
      <c r="H302" s="20"/>
      <c r="I302" s="22"/>
    </row>
    <row r="303" customFormat="false" ht="15" hidden="false" customHeight="true" outlineLevel="0" collapsed="false">
      <c r="A303" s="22"/>
      <c r="B303" s="22"/>
      <c r="C303" s="22"/>
      <c r="D303" s="22"/>
      <c r="E303" s="9"/>
      <c r="F303" s="9"/>
      <c r="G303" s="9"/>
      <c r="H303" s="20"/>
      <c r="I303" s="22"/>
    </row>
    <row r="304" customFormat="false" ht="15" hidden="false" customHeight="true" outlineLevel="0" collapsed="false">
      <c r="A304" s="22"/>
      <c r="B304" s="22"/>
      <c r="C304" s="22"/>
      <c r="D304" s="22"/>
      <c r="E304" s="9"/>
      <c r="F304" s="9"/>
      <c r="G304" s="9"/>
      <c r="H304" s="20"/>
      <c r="I304" s="22"/>
    </row>
    <row r="305" customFormat="false" ht="15" hidden="false" customHeight="true" outlineLevel="0" collapsed="false">
      <c r="A305" s="22"/>
      <c r="B305" s="22"/>
      <c r="C305" s="22"/>
      <c r="D305" s="22"/>
      <c r="E305" s="9"/>
      <c r="F305" s="9"/>
      <c r="G305" s="9"/>
      <c r="H305" s="20"/>
      <c r="I305" s="22"/>
    </row>
    <row r="306" customFormat="false" ht="15" hidden="false" customHeight="true" outlineLevel="0" collapsed="false">
      <c r="A306" s="22"/>
      <c r="B306" s="22"/>
      <c r="C306" s="22"/>
      <c r="D306" s="22"/>
      <c r="E306" s="9"/>
      <c r="F306" s="9"/>
      <c r="G306" s="9"/>
      <c r="H306" s="20"/>
      <c r="I306" s="22"/>
    </row>
    <row r="307" customFormat="false" ht="15" hidden="false" customHeight="true" outlineLevel="0" collapsed="false">
      <c r="A307" s="22"/>
      <c r="B307" s="22"/>
      <c r="C307" s="22"/>
      <c r="D307" s="22"/>
      <c r="E307" s="9"/>
      <c r="F307" s="9"/>
      <c r="G307" s="9"/>
      <c r="H307" s="20"/>
      <c r="I307" s="22"/>
    </row>
    <row r="308" customFormat="false" ht="15" hidden="false" customHeight="true" outlineLevel="0" collapsed="false">
      <c r="A308" s="22"/>
      <c r="B308" s="22"/>
      <c r="C308" s="22"/>
      <c r="D308" s="22"/>
      <c r="E308" s="9"/>
      <c r="F308" s="9"/>
      <c r="G308" s="9"/>
      <c r="H308" s="20"/>
      <c r="I308" s="22"/>
    </row>
    <row r="309" customFormat="false" ht="15" hidden="false" customHeight="true" outlineLevel="0" collapsed="false">
      <c r="A309" s="22"/>
      <c r="B309" s="22"/>
      <c r="C309" s="22"/>
      <c r="D309" s="22"/>
      <c r="E309" s="9"/>
      <c r="F309" s="9"/>
      <c r="G309" s="9"/>
      <c r="H309" s="20"/>
      <c r="I309" s="22"/>
    </row>
    <row r="310" customFormat="false" ht="15" hidden="false" customHeight="true" outlineLevel="0" collapsed="false">
      <c r="A310" s="22"/>
      <c r="B310" s="22"/>
      <c r="C310" s="22"/>
      <c r="D310" s="22"/>
      <c r="E310" s="9"/>
      <c r="F310" s="9"/>
      <c r="G310" s="9"/>
      <c r="H310" s="20"/>
      <c r="I310" s="22"/>
    </row>
    <row r="311" customFormat="false" ht="15" hidden="false" customHeight="true" outlineLevel="0" collapsed="false">
      <c r="A311" s="22"/>
      <c r="B311" s="22"/>
      <c r="C311" s="22"/>
      <c r="D311" s="22"/>
      <c r="E311" s="9"/>
      <c r="F311" s="9"/>
      <c r="G311" s="9"/>
      <c r="H311" s="20"/>
      <c r="I311" s="22"/>
    </row>
    <row r="312" customFormat="false" ht="15" hidden="false" customHeight="true" outlineLevel="0" collapsed="false">
      <c r="A312" s="22"/>
      <c r="B312" s="22"/>
      <c r="C312" s="22"/>
      <c r="D312" s="22"/>
      <c r="E312" s="9"/>
      <c r="F312" s="9"/>
      <c r="G312" s="9"/>
      <c r="H312" s="20"/>
      <c r="I312" s="22"/>
    </row>
    <row r="313" customFormat="false" ht="15" hidden="false" customHeight="true" outlineLevel="0" collapsed="false">
      <c r="A313" s="22"/>
      <c r="B313" s="22"/>
      <c r="C313" s="22"/>
      <c r="D313" s="22"/>
      <c r="E313" s="9"/>
      <c r="F313" s="9"/>
      <c r="G313" s="9"/>
      <c r="H313" s="20"/>
      <c r="I313" s="22"/>
    </row>
    <row r="314" customFormat="false" ht="15" hidden="false" customHeight="true" outlineLevel="0" collapsed="false">
      <c r="A314" s="22"/>
      <c r="B314" s="22"/>
      <c r="C314" s="22"/>
      <c r="D314" s="22"/>
      <c r="E314" s="9"/>
      <c r="F314" s="9"/>
      <c r="G314" s="9"/>
      <c r="H314" s="20"/>
      <c r="I314" s="22"/>
    </row>
    <row r="315" customFormat="false" ht="15" hidden="false" customHeight="true" outlineLevel="0" collapsed="false">
      <c r="A315" s="22"/>
      <c r="B315" s="22"/>
      <c r="C315" s="22"/>
      <c r="D315" s="22"/>
      <c r="E315" s="9"/>
      <c r="F315" s="9"/>
      <c r="G315" s="9"/>
      <c r="H315" s="20"/>
      <c r="I315" s="22"/>
    </row>
    <row r="316" customFormat="false" ht="15" hidden="false" customHeight="true" outlineLevel="0" collapsed="false">
      <c r="A316" s="22"/>
      <c r="B316" s="22"/>
      <c r="C316" s="22"/>
      <c r="D316" s="22"/>
      <c r="E316" s="9"/>
      <c r="F316" s="9"/>
      <c r="G316" s="9"/>
      <c r="H316" s="20"/>
      <c r="I316" s="22"/>
    </row>
    <row r="317" customFormat="false" ht="15" hidden="false" customHeight="true" outlineLevel="0" collapsed="false">
      <c r="A317" s="22"/>
      <c r="B317" s="22"/>
      <c r="C317" s="22"/>
      <c r="D317" s="22"/>
      <c r="E317" s="9"/>
      <c r="F317" s="9"/>
      <c r="G317" s="9"/>
      <c r="H317" s="20"/>
      <c r="I317" s="22"/>
    </row>
    <row r="318" customFormat="false" ht="15" hidden="false" customHeight="true" outlineLevel="0" collapsed="false">
      <c r="A318" s="22"/>
      <c r="B318" s="22"/>
      <c r="C318" s="22"/>
      <c r="D318" s="22"/>
      <c r="E318" s="9"/>
      <c r="F318" s="9"/>
      <c r="G318" s="9"/>
      <c r="H318" s="20"/>
      <c r="I318" s="22"/>
    </row>
    <row r="319" customFormat="false" ht="15" hidden="false" customHeight="true" outlineLevel="0" collapsed="false">
      <c r="A319" s="22"/>
      <c r="B319" s="22"/>
      <c r="C319" s="22"/>
      <c r="D319" s="22"/>
      <c r="E319" s="9"/>
      <c r="F319" s="9"/>
      <c r="G319" s="9"/>
      <c r="H319" s="20"/>
      <c r="I319" s="22"/>
    </row>
    <row r="320" customFormat="false" ht="15" hidden="false" customHeight="true" outlineLevel="0" collapsed="false">
      <c r="A320" s="22"/>
      <c r="B320" s="22"/>
      <c r="C320" s="22"/>
      <c r="D320" s="22"/>
      <c r="E320" s="9"/>
      <c r="F320" s="9"/>
      <c r="G320" s="9"/>
      <c r="H320" s="20"/>
      <c r="I320" s="22"/>
    </row>
    <row r="321" customFormat="false" ht="15" hidden="false" customHeight="true" outlineLevel="0" collapsed="false">
      <c r="A321" s="22"/>
      <c r="B321" s="22"/>
      <c r="C321" s="22"/>
      <c r="D321" s="22"/>
      <c r="E321" s="9"/>
      <c r="F321" s="9"/>
      <c r="G321" s="9"/>
      <c r="H321" s="20"/>
      <c r="I321" s="22"/>
    </row>
    <row r="322" customFormat="false" ht="15" hidden="false" customHeight="true" outlineLevel="0" collapsed="false">
      <c r="A322" s="22"/>
      <c r="B322" s="22"/>
      <c r="C322" s="22"/>
      <c r="D322" s="22"/>
      <c r="E322" s="9"/>
      <c r="F322" s="9"/>
      <c r="G322" s="9"/>
      <c r="H322" s="20"/>
      <c r="I322" s="22"/>
    </row>
    <row r="323" customFormat="false" ht="15" hidden="false" customHeight="true" outlineLevel="0" collapsed="false">
      <c r="A323" s="22"/>
      <c r="B323" s="22"/>
      <c r="C323" s="22"/>
      <c r="D323" s="22"/>
      <c r="E323" s="9"/>
      <c r="F323" s="9"/>
      <c r="G323" s="9"/>
      <c r="H323" s="20"/>
      <c r="I323" s="22"/>
    </row>
    <row r="324" customFormat="false" ht="15" hidden="false" customHeight="true" outlineLevel="0" collapsed="false">
      <c r="A324" s="22"/>
      <c r="B324" s="22"/>
      <c r="C324" s="22"/>
      <c r="D324" s="22"/>
      <c r="E324" s="9"/>
      <c r="F324" s="9"/>
      <c r="G324" s="9"/>
      <c r="H324" s="20"/>
      <c r="I324" s="22"/>
    </row>
    <row r="325" customFormat="false" ht="15" hidden="false" customHeight="true" outlineLevel="0" collapsed="false">
      <c r="A325" s="22"/>
      <c r="B325" s="22"/>
      <c r="C325" s="22"/>
      <c r="D325" s="22"/>
      <c r="E325" s="9"/>
      <c r="F325" s="9"/>
      <c r="G325" s="9"/>
      <c r="H325" s="20"/>
      <c r="I325" s="22"/>
    </row>
    <row r="326" customFormat="false" ht="15" hidden="false" customHeight="true" outlineLevel="0" collapsed="false">
      <c r="A326" s="22"/>
      <c r="B326" s="22"/>
      <c r="C326" s="22"/>
      <c r="D326" s="22"/>
      <c r="E326" s="9"/>
      <c r="F326" s="9"/>
      <c r="G326" s="9"/>
      <c r="H326" s="20"/>
      <c r="I326" s="22"/>
    </row>
    <row r="327" customFormat="false" ht="15" hidden="false" customHeight="true" outlineLevel="0" collapsed="false">
      <c r="A327" s="22"/>
      <c r="B327" s="22"/>
      <c r="C327" s="22"/>
      <c r="D327" s="22"/>
      <c r="E327" s="9"/>
      <c r="F327" s="9"/>
      <c r="G327" s="9"/>
      <c r="H327" s="20"/>
      <c r="I327" s="22"/>
    </row>
    <row r="328" customFormat="false" ht="15" hidden="false" customHeight="true" outlineLevel="0" collapsed="false">
      <c r="A328" s="22"/>
      <c r="B328" s="22"/>
      <c r="C328" s="22"/>
      <c r="D328" s="22"/>
      <c r="E328" s="9"/>
      <c r="F328" s="9"/>
      <c r="G328" s="9"/>
      <c r="H328" s="20"/>
      <c r="I328" s="22"/>
    </row>
    <row r="329" customFormat="false" ht="15" hidden="false" customHeight="true" outlineLevel="0" collapsed="false">
      <c r="A329" s="22"/>
      <c r="B329" s="22"/>
      <c r="C329" s="22"/>
      <c r="D329" s="22"/>
      <c r="E329" s="9"/>
      <c r="F329" s="9"/>
      <c r="G329" s="9"/>
      <c r="H329" s="20"/>
      <c r="I329" s="22"/>
    </row>
    <row r="330" customFormat="false" ht="15" hidden="false" customHeight="true" outlineLevel="0" collapsed="false">
      <c r="A330" s="22"/>
      <c r="B330" s="22"/>
      <c r="C330" s="22"/>
      <c r="D330" s="22"/>
      <c r="E330" s="9"/>
      <c r="F330" s="9"/>
      <c r="G330" s="9"/>
      <c r="H330" s="20"/>
      <c r="I330" s="22"/>
    </row>
    <row r="331" customFormat="false" ht="15" hidden="false" customHeight="true" outlineLevel="0" collapsed="false">
      <c r="A331" s="22"/>
      <c r="B331" s="22"/>
      <c r="C331" s="22"/>
      <c r="D331" s="22"/>
      <c r="E331" s="9"/>
      <c r="F331" s="9"/>
      <c r="G331" s="9"/>
      <c r="H331" s="20"/>
      <c r="I331" s="22"/>
    </row>
    <row r="332" customFormat="false" ht="15" hidden="false" customHeight="true" outlineLevel="0" collapsed="false">
      <c r="A332" s="22"/>
      <c r="B332" s="22"/>
      <c r="C332" s="22"/>
      <c r="D332" s="22"/>
      <c r="E332" s="9"/>
      <c r="F332" s="9"/>
      <c r="G332" s="9"/>
      <c r="H332" s="20"/>
      <c r="I332" s="22"/>
    </row>
    <row r="333" customFormat="false" ht="15" hidden="false" customHeight="true" outlineLevel="0" collapsed="false">
      <c r="A333" s="22"/>
      <c r="B333" s="22"/>
      <c r="C333" s="22"/>
      <c r="D333" s="22"/>
      <c r="E333" s="9"/>
      <c r="F333" s="9"/>
      <c r="G333" s="9"/>
      <c r="H333" s="20"/>
      <c r="I333" s="22"/>
    </row>
    <row r="334" customFormat="false" ht="15" hidden="false" customHeight="true" outlineLevel="0" collapsed="false">
      <c r="A334" s="22"/>
      <c r="B334" s="22"/>
      <c r="C334" s="22"/>
      <c r="D334" s="22"/>
      <c r="E334" s="9"/>
      <c r="F334" s="9"/>
      <c r="G334" s="9"/>
      <c r="H334" s="20"/>
      <c r="I334" s="22"/>
    </row>
    <row r="335" customFormat="false" ht="15" hidden="false" customHeight="true" outlineLevel="0" collapsed="false">
      <c r="A335" s="22"/>
      <c r="B335" s="22"/>
      <c r="C335" s="22"/>
      <c r="D335" s="22"/>
      <c r="E335" s="9"/>
      <c r="F335" s="9"/>
      <c r="G335" s="9"/>
      <c r="H335" s="20"/>
      <c r="I335" s="22"/>
    </row>
    <row r="336" customFormat="false" ht="15" hidden="false" customHeight="true" outlineLevel="0" collapsed="false">
      <c r="A336" s="22"/>
      <c r="B336" s="22"/>
      <c r="C336" s="22"/>
      <c r="D336" s="22"/>
      <c r="E336" s="9"/>
      <c r="F336" s="9"/>
      <c r="G336" s="9"/>
      <c r="H336" s="20"/>
      <c r="I336" s="22"/>
    </row>
    <row r="337" customFormat="false" ht="15" hidden="false" customHeight="true" outlineLevel="0" collapsed="false">
      <c r="A337" s="22"/>
      <c r="B337" s="22"/>
      <c r="C337" s="22"/>
      <c r="D337" s="22"/>
      <c r="E337" s="9"/>
      <c r="F337" s="9"/>
      <c r="G337" s="9"/>
      <c r="H337" s="20"/>
      <c r="I337" s="22"/>
    </row>
    <row r="338" customFormat="false" ht="15" hidden="false" customHeight="true" outlineLevel="0" collapsed="false">
      <c r="A338" s="22"/>
      <c r="B338" s="22"/>
      <c r="C338" s="22"/>
      <c r="D338" s="22"/>
      <c r="E338" s="9"/>
      <c r="F338" s="9"/>
      <c r="G338" s="9"/>
      <c r="H338" s="20"/>
      <c r="I338" s="22"/>
    </row>
    <row r="339" customFormat="false" ht="15" hidden="false" customHeight="true" outlineLevel="0" collapsed="false">
      <c r="A339" s="22"/>
      <c r="B339" s="22"/>
      <c r="C339" s="22"/>
      <c r="D339" s="22"/>
      <c r="E339" s="9"/>
      <c r="F339" s="9"/>
      <c r="G339" s="9"/>
      <c r="H339" s="20"/>
      <c r="I339" s="22"/>
    </row>
    <row r="340" customFormat="false" ht="15" hidden="false" customHeight="true" outlineLevel="0" collapsed="false">
      <c r="A340" s="22"/>
      <c r="B340" s="22"/>
      <c r="C340" s="22"/>
      <c r="D340" s="22"/>
      <c r="E340" s="9"/>
      <c r="F340" s="9"/>
      <c r="G340" s="9"/>
      <c r="H340" s="20"/>
      <c r="I340" s="22"/>
    </row>
    <row r="341" customFormat="false" ht="15" hidden="false" customHeight="true" outlineLevel="0" collapsed="false">
      <c r="A341" s="22"/>
      <c r="B341" s="22"/>
      <c r="C341" s="22"/>
      <c r="D341" s="22"/>
      <c r="E341" s="9"/>
      <c r="F341" s="9"/>
      <c r="G341" s="9"/>
      <c r="H341" s="20"/>
      <c r="I341" s="22"/>
    </row>
    <row r="342" customFormat="false" ht="15" hidden="false" customHeight="true" outlineLevel="0" collapsed="false">
      <c r="A342" s="22"/>
      <c r="B342" s="22"/>
      <c r="C342" s="22"/>
      <c r="D342" s="22"/>
      <c r="E342" s="9"/>
      <c r="F342" s="9"/>
      <c r="G342" s="9"/>
      <c r="H342" s="20"/>
      <c r="I342" s="22"/>
    </row>
    <row r="343" customFormat="false" ht="15" hidden="false" customHeight="true" outlineLevel="0" collapsed="false">
      <c r="A343" s="22"/>
      <c r="B343" s="22"/>
      <c r="C343" s="22"/>
      <c r="D343" s="22"/>
      <c r="E343" s="9"/>
      <c r="F343" s="9"/>
      <c r="G343" s="9"/>
      <c r="H343" s="20"/>
      <c r="I343" s="22"/>
    </row>
    <row r="344" customFormat="false" ht="15" hidden="false" customHeight="true" outlineLevel="0" collapsed="false">
      <c r="A344" s="22"/>
      <c r="B344" s="22"/>
      <c r="C344" s="22"/>
      <c r="D344" s="22"/>
      <c r="E344" s="9"/>
      <c r="F344" s="9"/>
      <c r="G344" s="9"/>
      <c r="H344" s="20"/>
      <c r="I344" s="22"/>
    </row>
    <row r="345" customFormat="false" ht="15" hidden="false" customHeight="true" outlineLevel="0" collapsed="false">
      <c r="A345" s="22"/>
      <c r="B345" s="22"/>
      <c r="C345" s="22"/>
      <c r="D345" s="22"/>
      <c r="E345" s="9"/>
      <c r="F345" s="9"/>
      <c r="G345" s="9"/>
      <c r="H345" s="20"/>
      <c r="I345" s="22"/>
    </row>
    <row r="346" customFormat="false" ht="15" hidden="false" customHeight="true" outlineLevel="0" collapsed="false">
      <c r="A346" s="22"/>
      <c r="B346" s="22"/>
      <c r="C346" s="22"/>
      <c r="D346" s="22"/>
      <c r="E346" s="9"/>
      <c r="F346" s="9"/>
      <c r="G346" s="9"/>
      <c r="H346" s="20"/>
      <c r="I346" s="22"/>
    </row>
    <row r="347" customFormat="false" ht="15" hidden="false" customHeight="true" outlineLevel="0" collapsed="false">
      <c r="A347" s="22"/>
      <c r="B347" s="22"/>
      <c r="C347" s="22"/>
      <c r="D347" s="22"/>
      <c r="E347" s="9"/>
      <c r="F347" s="9"/>
      <c r="G347" s="9"/>
      <c r="H347" s="20"/>
      <c r="I347" s="22"/>
    </row>
    <row r="348" customFormat="false" ht="15" hidden="false" customHeight="true" outlineLevel="0" collapsed="false">
      <c r="A348" s="22"/>
      <c r="B348" s="22"/>
      <c r="C348" s="22"/>
      <c r="D348" s="22"/>
      <c r="E348" s="9"/>
      <c r="F348" s="9"/>
      <c r="G348" s="9"/>
      <c r="H348" s="20"/>
      <c r="I348" s="22"/>
    </row>
    <row r="349" customFormat="false" ht="15" hidden="false" customHeight="true" outlineLevel="0" collapsed="false">
      <c r="A349" s="22"/>
      <c r="B349" s="22"/>
      <c r="C349" s="22"/>
      <c r="D349" s="22"/>
      <c r="E349" s="9"/>
      <c r="F349" s="9"/>
      <c r="G349" s="9"/>
      <c r="H349" s="20"/>
      <c r="I349" s="22"/>
    </row>
    <row r="350" customFormat="false" ht="15" hidden="false" customHeight="true" outlineLevel="0" collapsed="false">
      <c r="A350" s="22"/>
      <c r="B350" s="22"/>
      <c r="C350" s="22"/>
      <c r="D350" s="22"/>
      <c r="E350" s="9"/>
      <c r="F350" s="9"/>
      <c r="G350" s="9"/>
      <c r="H350" s="20"/>
      <c r="I350" s="22"/>
    </row>
    <row r="351" customFormat="false" ht="15" hidden="false" customHeight="true" outlineLevel="0" collapsed="false">
      <c r="A351" s="22"/>
      <c r="B351" s="22"/>
      <c r="C351" s="22"/>
      <c r="D351" s="22"/>
      <c r="E351" s="9"/>
      <c r="F351" s="9"/>
      <c r="G351" s="9"/>
      <c r="H351" s="20"/>
      <c r="I351" s="22"/>
    </row>
    <row r="352" customFormat="false" ht="15" hidden="false" customHeight="true" outlineLevel="0" collapsed="false">
      <c r="A352" s="22"/>
      <c r="B352" s="22"/>
      <c r="C352" s="22"/>
      <c r="D352" s="22"/>
      <c r="E352" s="9"/>
      <c r="F352" s="9"/>
      <c r="G352" s="9"/>
      <c r="H352" s="20"/>
      <c r="I352" s="22"/>
    </row>
    <row r="353" customFormat="false" ht="15" hidden="false" customHeight="true" outlineLevel="0" collapsed="false">
      <c r="A353" s="22"/>
      <c r="B353" s="22"/>
      <c r="C353" s="22"/>
      <c r="D353" s="22"/>
      <c r="E353" s="9"/>
      <c r="F353" s="9"/>
      <c r="G353" s="9"/>
      <c r="H353" s="20"/>
      <c r="I353" s="22"/>
    </row>
    <row r="354" customFormat="false" ht="15" hidden="false" customHeight="true" outlineLevel="0" collapsed="false">
      <c r="A354" s="22"/>
      <c r="B354" s="22"/>
      <c r="C354" s="22"/>
      <c r="D354" s="22"/>
      <c r="E354" s="9"/>
      <c r="F354" s="9"/>
      <c r="G354" s="9"/>
      <c r="H354" s="20"/>
      <c r="I354" s="22"/>
    </row>
    <row r="355" customFormat="false" ht="15" hidden="false" customHeight="true" outlineLevel="0" collapsed="false">
      <c r="A355" s="22"/>
      <c r="B355" s="22"/>
      <c r="C355" s="22"/>
      <c r="D355" s="22"/>
      <c r="E355" s="9"/>
      <c r="F355" s="9"/>
      <c r="G355" s="9"/>
      <c r="H355" s="20"/>
      <c r="I355" s="22"/>
    </row>
    <row r="356" customFormat="false" ht="15" hidden="false" customHeight="true" outlineLevel="0" collapsed="false">
      <c r="A356" s="22"/>
      <c r="B356" s="22"/>
      <c r="C356" s="22"/>
      <c r="D356" s="22"/>
      <c r="E356" s="9"/>
      <c r="F356" s="9"/>
      <c r="G356" s="9"/>
      <c r="H356" s="20"/>
      <c r="I356" s="22"/>
    </row>
    <row r="357" customFormat="false" ht="15" hidden="false" customHeight="true" outlineLevel="0" collapsed="false">
      <c r="A357" s="22"/>
      <c r="B357" s="22"/>
      <c r="C357" s="22"/>
      <c r="D357" s="22"/>
      <c r="E357" s="9"/>
      <c r="F357" s="9"/>
      <c r="G357" s="9"/>
      <c r="H357" s="20"/>
      <c r="I357" s="22"/>
    </row>
    <row r="358" customFormat="false" ht="15" hidden="false" customHeight="true" outlineLevel="0" collapsed="false">
      <c r="A358" s="22"/>
      <c r="B358" s="22"/>
      <c r="C358" s="22"/>
      <c r="D358" s="22"/>
      <c r="E358" s="9"/>
      <c r="F358" s="9"/>
      <c r="G358" s="9"/>
      <c r="H358" s="20"/>
      <c r="I358" s="22"/>
    </row>
    <row r="359" customFormat="false" ht="15" hidden="false" customHeight="true" outlineLevel="0" collapsed="false">
      <c r="A359" s="22"/>
      <c r="B359" s="22"/>
      <c r="C359" s="22"/>
      <c r="D359" s="22"/>
      <c r="E359" s="9"/>
      <c r="F359" s="9"/>
      <c r="G359" s="9"/>
      <c r="H359" s="20"/>
      <c r="I359" s="22"/>
    </row>
    <row r="360" customFormat="false" ht="15" hidden="false" customHeight="true" outlineLevel="0" collapsed="false">
      <c r="A360" s="22"/>
      <c r="B360" s="22"/>
      <c r="C360" s="22"/>
      <c r="D360" s="22"/>
      <c r="E360" s="9"/>
      <c r="F360" s="9"/>
      <c r="G360" s="9"/>
      <c r="H360" s="20"/>
      <c r="I360" s="22"/>
    </row>
    <row r="361" customFormat="false" ht="15" hidden="false" customHeight="true" outlineLevel="0" collapsed="false">
      <c r="A361" s="22"/>
      <c r="B361" s="22"/>
      <c r="C361" s="22"/>
      <c r="D361" s="22"/>
      <c r="E361" s="9"/>
      <c r="F361" s="9"/>
      <c r="G361" s="9"/>
      <c r="H361" s="20"/>
      <c r="I361" s="22"/>
    </row>
    <row r="362" customFormat="false" ht="15" hidden="false" customHeight="true" outlineLevel="0" collapsed="false">
      <c r="A362" s="22"/>
      <c r="B362" s="22"/>
      <c r="C362" s="22"/>
      <c r="D362" s="22"/>
      <c r="E362" s="9"/>
      <c r="F362" s="9"/>
      <c r="G362" s="9"/>
      <c r="H362" s="20"/>
      <c r="I362" s="22"/>
    </row>
    <row r="363" customFormat="false" ht="15" hidden="false" customHeight="true" outlineLevel="0" collapsed="false">
      <c r="A363" s="22"/>
      <c r="B363" s="22"/>
      <c r="C363" s="22"/>
      <c r="D363" s="22"/>
      <c r="E363" s="9"/>
      <c r="F363" s="9"/>
      <c r="G363" s="9"/>
      <c r="H363" s="20"/>
      <c r="I363" s="22"/>
    </row>
    <row r="364" customFormat="false" ht="15" hidden="false" customHeight="true" outlineLevel="0" collapsed="false">
      <c r="A364" s="22"/>
      <c r="B364" s="22"/>
      <c r="C364" s="22"/>
      <c r="D364" s="22"/>
      <c r="E364" s="9"/>
      <c r="F364" s="9"/>
      <c r="G364" s="9"/>
      <c r="H364" s="20"/>
      <c r="I364" s="22"/>
    </row>
    <row r="365" customFormat="false" ht="15" hidden="false" customHeight="true" outlineLevel="0" collapsed="false">
      <c r="A365" s="22"/>
      <c r="B365" s="22"/>
      <c r="C365" s="22"/>
      <c r="D365" s="22"/>
      <c r="E365" s="9"/>
      <c r="F365" s="9"/>
      <c r="G365" s="9"/>
      <c r="H365" s="20"/>
      <c r="I365" s="22"/>
    </row>
    <row r="366" customFormat="false" ht="15" hidden="false" customHeight="true" outlineLevel="0" collapsed="false">
      <c r="A366" s="22"/>
      <c r="B366" s="22"/>
      <c r="C366" s="22"/>
      <c r="D366" s="22"/>
      <c r="E366" s="9"/>
      <c r="F366" s="9"/>
      <c r="G366" s="9"/>
      <c r="H366" s="20"/>
      <c r="I366" s="22"/>
    </row>
    <row r="367" customFormat="false" ht="15" hidden="false" customHeight="true" outlineLevel="0" collapsed="false">
      <c r="A367" s="22"/>
      <c r="B367" s="22"/>
      <c r="C367" s="22"/>
      <c r="D367" s="22"/>
      <c r="E367" s="9"/>
      <c r="F367" s="9"/>
      <c r="G367" s="9"/>
      <c r="H367" s="20"/>
      <c r="I367" s="22"/>
    </row>
    <row r="368" customFormat="false" ht="15" hidden="false" customHeight="true" outlineLevel="0" collapsed="false">
      <c r="A368" s="22"/>
      <c r="B368" s="22"/>
      <c r="C368" s="22"/>
      <c r="D368" s="22"/>
      <c r="E368" s="9"/>
      <c r="F368" s="9"/>
      <c r="G368" s="9"/>
      <c r="H368" s="20"/>
      <c r="I368" s="22"/>
    </row>
    <row r="369" customFormat="false" ht="15" hidden="false" customHeight="true" outlineLevel="0" collapsed="false">
      <c r="A369" s="22"/>
      <c r="B369" s="22"/>
      <c r="C369" s="22"/>
      <c r="D369" s="22"/>
      <c r="E369" s="9"/>
      <c r="F369" s="9"/>
      <c r="G369" s="9"/>
      <c r="H369" s="20"/>
      <c r="I369" s="22"/>
    </row>
    <row r="370" customFormat="false" ht="15" hidden="false" customHeight="true" outlineLevel="0" collapsed="false">
      <c r="A370" s="22"/>
      <c r="B370" s="22"/>
      <c r="C370" s="22"/>
      <c r="D370" s="22"/>
      <c r="E370" s="9"/>
      <c r="F370" s="9"/>
      <c r="G370" s="9"/>
      <c r="H370" s="20"/>
      <c r="I370" s="22"/>
    </row>
    <row r="371" customFormat="false" ht="15" hidden="false" customHeight="true" outlineLevel="0" collapsed="false">
      <c r="A371" s="22"/>
      <c r="B371" s="22"/>
      <c r="C371" s="22"/>
      <c r="D371" s="22"/>
      <c r="E371" s="9"/>
      <c r="F371" s="9"/>
      <c r="G371" s="9"/>
      <c r="H371" s="20"/>
      <c r="I371" s="22"/>
    </row>
    <row r="372" customFormat="false" ht="15" hidden="false" customHeight="true" outlineLevel="0" collapsed="false">
      <c r="A372" s="22"/>
      <c r="B372" s="22"/>
      <c r="C372" s="22"/>
      <c r="D372" s="22"/>
      <c r="E372" s="9"/>
      <c r="F372" s="9"/>
      <c r="G372" s="9"/>
      <c r="H372" s="20"/>
      <c r="I372" s="22"/>
    </row>
    <row r="373" customFormat="false" ht="15" hidden="false" customHeight="true" outlineLevel="0" collapsed="false">
      <c r="A373" s="22"/>
      <c r="B373" s="22"/>
      <c r="C373" s="22"/>
      <c r="D373" s="22"/>
      <c r="E373" s="9"/>
      <c r="F373" s="9"/>
      <c r="G373" s="9"/>
      <c r="H373" s="20"/>
      <c r="I373" s="22"/>
    </row>
    <row r="374" customFormat="false" ht="15" hidden="false" customHeight="true" outlineLevel="0" collapsed="false">
      <c r="A374" s="22"/>
      <c r="B374" s="22"/>
      <c r="C374" s="22"/>
      <c r="D374" s="22"/>
      <c r="E374" s="9"/>
      <c r="F374" s="9"/>
      <c r="G374" s="9"/>
      <c r="H374" s="20"/>
      <c r="I374" s="22"/>
    </row>
    <row r="375" customFormat="false" ht="15" hidden="false" customHeight="true" outlineLevel="0" collapsed="false">
      <c r="A375" s="22"/>
      <c r="B375" s="22"/>
      <c r="C375" s="22"/>
      <c r="D375" s="22"/>
      <c r="E375" s="9"/>
      <c r="F375" s="9"/>
      <c r="G375" s="9"/>
      <c r="H375" s="20"/>
      <c r="I375" s="22"/>
    </row>
    <row r="376" customFormat="false" ht="15" hidden="false" customHeight="true" outlineLevel="0" collapsed="false">
      <c r="A376" s="22"/>
      <c r="B376" s="22"/>
      <c r="C376" s="22"/>
      <c r="D376" s="22"/>
      <c r="E376" s="9"/>
      <c r="F376" s="9"/>
      <c r="G376" s="9"/>
      <c r="H376" s="20"/>
      <c r="I376" s="22"/>
    </row>
    <row r="377" customFormat="false" ht="15" hidden="false" customHeight="true" outlineLevel="0" collapsed="false">
      <c r="A377" s="22"/>
      <c r="B377" s="22"/>
      <c r="C377" s="22"/>
      <c r="D377" s="22"/>
      <c r="E377" s="9"/>
      <c r="F377" s="9"/>
      <c r="G377" s="9"/>
      <c r="H377" s="20"/>
      <c r="I377" s="22"/>
    </row>
    <row r="378" customFormat="false" ht="15" hidden="false" customHeight="true" outlineLevel="0" collapsed="false">
      <c r="A378" s="22"/>
      <c r="B378" s="22"/>
      <c r="C378" s="22"/>
      <c r="D378" s="22"/>
      <c r="E378" s="9"/>
      <c r="F378" s="9"/>
      <c r="G378" s="9"/>
      <c r="H378" s="20"/>
      <c r="I378" s="22"/>
    </row>
    <row r="379" customFormat="false" ht="15" hidden="false" customHeight="true" outlineLevel="0" collapsed="false">
      <c r="A379" s="22"/>
      <c r="B379" s="22"/>
      <c r="C379" s="22"/>
      <c r="D379" s="22"/>
      <c r="E379" s="9"/>
      <c r="F379" s="9"/>
      <c r="G379" s="9"/>
      <c r="H379" s="20"/>
      <c r="I379" s="22"/>
    </row>
    <row r="380" customFormat="false" ht="15" hidden="false" customHeight="true" outlineLevel="0" collapsed="false">
      <c r="A380" s="22"/>
      <c r="B380" s="22"/>
      <c r="C380" s="22"/>
      <c r="D380" s="22"/>
      <c r="E380" s="9"/>
      <c r="F380" s="9"/>
      <c r="G380" s="9"/>
      <c r="H380" s="20"/>
      <c r="I380" s="22"/>
    </row>
    <row r="381" customFormat="false" ht="15" hidden="false" customHeight="true" outlineLevel="0" collapsed="false">
      <c r="A381" s="22"/>
      <c r="B381" s="22"/>
      <c r="C381" s="22"/>
      <c r="D381" s="22"/>
      <c r="E381" s="9"/>
      <c r="F381" s="9"/>
      <c r="G381" s="9"/>
      <c r="H381" s="20"/>
      <c r="I381" s="22"/>
    </row>
    <row r="382" customFormat="false" ht="15" hidden="false" customHeight="true" outlineLevel="0" collapsed="false">
      <c r="A382" s="22"/>
      <c r="B382" s="22"/>
      <c r="C382" s="22"/>
      <c r="D382" s="22"/>
      <c r="E382" s="9"/>
      <c r="F382" s="9"/>
      <c r="G382" s="9"/>
      <c r="H382" s="20"/>
      <c r="I382" s="22"/>
    </row>
    <row r="383" customFormat="false" ht="15" hidden="false" customHeight="true" outlineLevel="0" collapsed="false">
      <c r="A383" s="22"/>
      <c r="B383" s="22"/>
      <c r="C383" s="22"/>
      <c r="D383" s="22"/>
      <c r="E383" s="9"/>
      <c r="F383" s="9"/>
      <c r="G383" s="9"/>
      <c r="H383" s="20"/>
      <c r="I383" s="22"/>
    </row>
    <row r="384" customFormat="false" ht="15" hidden="false" customHeight="true" outlineLevel="0" collapsed="false">
      <c r="A384" s="22"/>
      <c r="B384" s="22"/>
      <c r="C384" s="22"/>
      <c r="D384" s="22"/>
      <c r="E384" s="9"/>
      <c r="F384" s="9"/>
      <c r="G384" s="9"/>
      <c r="H384" s="20"/>
      <c r="I384" s="22"/>
    </row>
    <row r="385" customFormat="false" ht="15" hidden="false" customHeight="true" outlineLevel="0" collapsed="false">
      <c r="A385" s="22"/>
      <c r="B385" s="22"/>
      <c r="C385" s="22"/>
      <c r="D385" s="22"/>
      <c r="E385" s="9"/>
      <c r="F385" s="9"/>
      <c r="G385" s="9"/>
      <c r="H385" s="20"/>
      <c r="I385" s="22"/>
    </row>
    <row r="386" customFormat="false" ht="15" hidden="false" customHeight="true" outlineLevel="0" collapsed="false">
      <c r="A386" s="22"/>
      <c r="B386" s="22"/>
      <c r="C386" s="22"/>
      <c r="D386" s="22"/>
      <c r="E386" s="9"/>
      <c r="F386" s="9"/>
      <c r="G386" s="9"/>
      <c r="H386" s="20"/>
      <c r="I386" s="22"/>
    </row>
    <row r="387" customFormat="false" ht="15" hidden="false" customHeight="true" outlineLevel="0" collapsed="false">
      <c r="A387" s="22"/>
      <c r="B387" s="22"/>
      <c r="C387" s="22"/>
      <c r="D387" s="22"/>
      <c r="E387" s="9"/>
      <c r="F387" s="9"/>
      <c r="G387" s="9"/>
      <c r="H387" s="20"/>
      <c r="I387" s="22"/>
    </row>
    <row r="388" customFormat="false" ht="15" hidden="false" customHeight="true" outlineLevel="0" collapsed="false">
      <c r="A388" s="22"/>
      <c r="B388" s="22"/>
      <c r="C388" s="22"/>
      <c r="D388" s="22"/>
      <c r="E388" s="9"/>
      <c r="F388" s="9"/>
      <c r="G388" s="9"/>
      <c r="H388" s="20"/>
      <c r="I388" s="22"/>
    </row>
    <row r="389" customFormat="false" ht="15" hidden="false" customHeight="true" outlineLevel="0" collapsed="false">
      <c r="A389" s="22"/>
      <c r="B389" s="22"/>
      <c r="C389" s="22"/>
      <c r="D389" s="22"/>
      <c r="E389" s="9"/>
      <c r="F389" s="9"/>
      <c r="G389" s="9"/>
      <c r="H389" s="20"/>
      <c r="I389" s="22"/>
    </row>
    <row r="390" customFormat="false" ht="15" hidden="false" customHeight="true" outlineLevel="0" collapsed="false">
      <c r="A390" s="22"/>
      <c r="B390" s="22"/>
      <c r="C390" s="22"/>
      <c r="D390" s="22"/>
      <c r="E390" s="9"/>
      <c r="F390" s="9"/>
      <c r="G390" s="9"/>
      <c r="H390" s="20"/>
      <c r="I390" s="22"/>
    </row>
    <row r="391" customFormat="false" ht="15" hidden="false" customHeight="true" outlineLevel="0" collapsed="false">
      <c r="A391" s="22"/>
      <c r="B391" s="22"/>
      <c r="C391" s="22"/>
      <c r="D391" s="22"/>
      <c r="E391" s="9"/>
      <c r="F391" s="9"/>
      <c r="G391" s="9"/>
      <c r="H391" s="20"/>
      <c r="I391" s="22"/>
    </row>
    <row r="392" customFormat="false" ht="15" hidden="false" customHeight="true" outlineLevel="0" collapsed="false">
      <c r="A392" s="22"/>
      <c r="B392" s="22"/>
      <c r="C392" s="22"/>
      <c r="D392" s="22"/>
      <c r="E392" s="9"/>
      <c r="F392" s="9"/>
      <c r="G392" s="9"/>
      <c r="H392" s="20"/>
      <c r="I392" s="22"/>
    </row>
    <row r="393" customFormat="false" ht="15" hidden="false" customHeight="true" outlineLevel="0" collapsed="false">
      <c r="A393" s="22"/>
      <c r="B393" s="22"/>
      <c r="C393" s="22"/>
      <c r="D393" s="22"/>
      <c r="E393" s="9"/>
      <c r="F393" s="9"/>
      <c r="G393" s="9"/>
      <c r="H393" s="20"/>
      <c r="I393" s="22"/>
    </row>
    <row r="394" customFormat="false" ht="15" hidden="false" customHeight="true" outlineLevel="0" collapsed="false">
      <c r="A394" s="22"/>
      <c r="B394" s="22"/>
      <c r="C394" s="22"/>
      <c r="D394" s="22"/>
      <c r="E394" s="9"/>
      <c r="F394" s="9"/>
      <c r="G394" s="9"/>
      <c r="H394" s="20"/>
      <c r="I394" s="22"/>
    </row>
    <row r="395" customFormat="false" ht="15" hidden="false" customHeight="true" outlineLevel="0" collapsed="false">
      <c r="A395" s="22"/>
      <c r="B395" s="22"/>
      <c r="C395" s="22"/>
      <c r="D395" s="22"/>
      <c r="E395" s="9"/>
      <c r="F395" s="9"/>
      <c r="G395" s="9"/>
      <c r="H395" s="20"/>
      <c r="I395" s="22"/>
    </row>
    <row r="396" customFormat="false" ht="15" hidden="false" customHeight="true" outlineLevel="0" collapsed="false">
      <c r="A396" s="22"/>
      <c r="B396" s="22"/>
      <c r="C396" s="22"/>
      <c r="D396" s="22"/>
      <c r="E396" s="9"/>
      <c r="F396" s="9"/>
      <c r="G396" s="9"/>
      <c r="H396" s="20"/>
      <c r="I396" s="22"/>
    </row>
    <row r="397" customFormat="false" ht="15" hidden="false" customHeight="true" outlineLevel="0" collapsed="false">
      <c r="A397" s="22"/>
      <c r="B397" s="22"/>
      <c r="C397" s="22"/>
      <c r="D397" s="22"/>
      <c r="E397" s="9"/>
      <c r="F397" s="9"/>
      <c r="G397" s="9"/>
      <c r="H397" s="20"/>
      <c r="I397" s="22"/>
    </row>
    <row r="398" customFormat="false" ht="15" hidden="false" customHeight="true" outlineLevel="0" collapsed="false">
      <c r="A398" s="22"/>
      <c r="B398" s="22"/>
      <c r="C398" s="22"/>
      <c r="D398" s="22"/>
      <c r="E398" s="9"/>
      <c r="F398" s="9"/>
      <c r="G398" s="9"/>
      <c r="H398" s="20"/>
      <c r="I398" s="22"/>
    </row>
    <row r="399" customFormat="false" ht="15" hidden="false" customHeight="true" outlineLevel="0" collapsed="false">
      <c r="A399" s="22"/>
      <c r="B399" s="22"/>
      <c r="C399" s="22"/>
      <c r="D399" s="22"/>
      <c r="E399" s="9"/>
      <c r="F399" s="9"/>
      <c r="G399" s="9"/>
      <c r="H399" s="20"/>
      <c r="I399" s="22"/>
    </row>
    <row r="400" customFormat="false" ht="15" hidden="false" customHeight="true" outlineLevel="0" collapsed="false">
      <c r="A400" s="22"/>
      <c r="B400" s="22"/>
      <c r="C400" s="22"/>
      <c r="D400" s="22"/>
      <c r="E400" s="9"/>
      <c r="F400" s="9"/>
      <c r="G400" s="9"/>
      <c r="H400" s="20"/>
      <c r="I400" s="22"/>
    </row>
    <row r="401" customFormat="false" ht="15" hidden="false" customHeight="true" outlineLevel="0" collapsed="false">
      <c r="A401" s="22"/>
      <c r="B401" s="22"/>
      <c r="C401" s="22"/>
      <c r="D401" s="22"/>
      <c r="E401" s="9"/>
      <c r="F401" s="9"/>
      <c r="G401" s="9"/>
      <c r="H401" s="20"/>
      <c r="I401" s="22"/>
    </row>
    <row r="402" customFormat="false" ht="15" hidden="false" customHeight="true" outlineLevel="0" collapsed="false">
      <c r="A402" s="22"/>
      <c r="B402" s="22"/>
      <c r="C402" s="22"/>
      <c r="D402" s="22"/>
      <c r="E402" s="9"/>
      <c r="F402" s="9"/>
      <c r="G402" s="9"/>
      <c r="H402" s="20"/>
      <c r="I402" s="22"/>
    </row>
    <row r="403" customFormat="false" ht="15" hidden="false" customHeight="true" outlineLevel="0" collapsed="false">
      <c r="A403" s="22"/>
      <c r="B403" s="22"/>
      <c r="C403" s="22"/>
      <c r="D403" s="22"/>
      <c r="E403" s="9"/>
      <c r="F403" s="9"/>
      <c r="G403" s="9"/>
      <c r="H403" s="20"/>
      <c r="I403" s="22"/>
    </row>
    <row r="404" customFormat="false" ht="15" hidden="false" customHeight="true" outlineLevel="0" collapsed="false">
      <c r="A404" s="22"/>
      <c r="B404" s="22"/>
      <c r="C404" s="22"/>
      <c r="D404" s="22"/>
      <c r="E404" s="9"/>
      <c r="F404" s="9"/>
      <c r="G404" s="9"/>
      <c r="H404" s="20"/>
      <c r="I404" s="22"/>
    </row>
    <row r="405" customFormat="false" ht="15" hidden="false" customHeight="true" outlineLevel="0" collapsed="false">
      <c r="A405" s="22"/>
      <c r="B405" s="22"/>
      <c r="C405" s="22"/>
      <c r="D405" s="22"/>
      <c r="E405" s="9"/>
      <c r="F405" s="9"/>
      <c r="G405" s="9"/>
      <c r="H405" s="20"/>
      <c r="I405" s="22"/>
    </row>
    <row r="406" customFormat="false" ht="15" hidden="false" customHeight="true" outlineLevel="0" collapsed="false">
      <c r="A406" s="22"/>
      <c r="B406" s="22"/>
      <c r="C406" s="22"/>
      <c r="D406" s="22"/>
      <c r="E406" s="9"/>
      <c r="F406" s="9"/>
      <c r="G406" s="9"/>
      <c r="H406" s="20"/>
      <c r="I406" s="22"/>
    </row>
    <row r="407" customFormat="false" ht="15" hidden="false" customHeight="true" outlineLevel="0" collapsed="false">
      <c r="A407" s="22"/>
      <c r="B407" s="22"/>
      <c r="C407" s="22"/>
      <c r="D407" s="22"/>
      <c r="E407" s="9"/>
      <c r="F407" s="9"/>
      <c r="G407" s="9"/>
      <c r="H407" s="20"/>
      <c r="I407" s="22"/>
    </row>
    <row r="408" customFormat="false" ht="15" hidden="false" customHeight="true" outlineLevel="0" collapsed="false">
      <c r="A408" s="22"/>
      <c r="B408" s="22"/>
      <c r="C408" s="22"/>
      <c r="D408" s="22"/>
      <c r="E408" s="9"/>
      <c r="F408" s="9"/>
      <c r="G408" s="9"/>
      <c r="H408" s="20"/>
      <c r="I408" s="22"/>
    </row>
    <row r="409" customFormat="false" ht="15" hidden="false" customHeight="true" outlineLevel="0" collapsed="false">
      <c r="A409" s="22"/>
      <c r="B409" s="22"/>
      <c r="C409" s="22"/>
      <c r="D409" s="22"/>
      <c r="E409" s="9"/>
      <c r="F409" s="9"/>
      <c r="G409" s="9"/>
      <c r="H409" s="20"/>
      <c r="I409" s="22"/>
    </row>
    <row r="410" customFormat="false" ht="15" hidden="false" customHeight="true" outlineLevel="0" collapsed="false">
      <c r="A410" s="22"/>
      <c r="B410" s="22"/>
      <c r="C410" s="22"/>
      <c r="D410" s="22"/>
      <c r="E410" s="9"/>
      <c r="F410" s="9"/>
      <c r="G410" s="9"/>
      <c r="H410" s="20"/>
      <c r="I410" s="22"/>
    </row>
    <row r="411" customFormat="false" ht="15" hidden="false" customHeight="true" outlineLevel="0" collapsed="false">
      <c r="A411" s="22"/>
      <c r="B411" s="22"/>
      <c r="C411" s="22"/>
      <c r="D411" s="22"/>
      <c r="E411" s="9"/>
      <c r="F411" s="9"/>
      <c r="G411" s="9"/>
      <c r="H411" s="20"/>
      <c r="I411" s="22"/>
    </row>
    <row r="412" customFormat="false" ht="15" hidden="false" customHeight="true" outlineLevel="0" collapsed="false">
      <c r="A412" s="22"/>
      <c r="B412" s="22"/>
      <c r="C412" s="22"/>
      <c r="D412" s="22"/>
      <c r="E412" s="9"/>
      <c r="F412" s="9"/>
      <c r="G412" s="9"/>
      <c r="H412" s="20"/>
      <c r="I412" s="22"/>
    </row>
    <row r="413" customFormat="false" ht="15" hidden="false" customHeight="true" outlineLevel="0" collapsed="false">
      <c r="A413" s="22"/>
      <c r="B413" s="22"/>
      <c r="C413" s="22"/>
      <c r="D413" s="22"/>
      <c r="E413" s="9"/>
      <c r="F413" s="9"/>
      <c r="G413" s="9"/>
      <c r="H413" s="20"/>
      <c r="I413" s="22"/>
    </row>
    <row r="414" customFormat="false" ht="15" hidden="false" customHeight="true" outlineLevel="0" collapsed="false">
      <c r="A414" s="22"/>
      <c r="B414" s="22"/>
      <c r="C414" s="22"/>
      <c r="D414" s="22"/>
      <c r="E414" s="9"/>
      <c r="F414" s="9"/>
      <c r="G414" s="9"/>
      <c r="H414" s="20"/>
      <c r="I414" s="22"/>
    </row>
    <row r="415" customFormat="false" ht="15" hidden="false" customHeight="true" outlineLevel="0" collapsed="false">
      <c r="A415" s="22"/>
      <c r="B415" s="22"/>
      <c r="C415" s="22"/>
      <c r="D415" s="22"/>
      <c r="E415" s="9"/>
      <c r="F415" s="9"/>
      <c r="G415" s="9"/>
      <c r="H415" s="20"/>
      <c r="I415" s="22"/>
    </row>
    <row r="416" customFormat="false" ht="15" hidden="false" customHeight="true" outlineLevel="0" collapsed="false">
      <c r="A416" s="22"/>
      <c r="B416" s="22"/>
      <c r="C416" s="22"/>
      <c r="D416" s="22"/>
      <c r="E416" s="9"/>
      <c r="F416" s="9"/>
      <c r="G416" s="9"/>
      <c r="H416" s="20"/>
      <c r="I416" s="22"/>
    </row>
    <row r="417" customFormat="false" ht="15" hidden="false" customHeight="true" outlineLevel="0" collapsed="false">
      <c r="A417" s="22"/>
      <c r="B417" s="22"/>
      <c r="C417" s="22"/>
      <c r="D417" s="22"/>
      <c r="E417" s="9"/>
      <c r="F417" s="9"/>
      <c r="G417" s="9"/>
      <c r="H417" s="20"/>
      <c r="I417" s="22"/>
    </row>
    <row r="418" customFormat="false" ht="15" hidden="false" customHeight="true" outlineLevel="0" collapsed="false">
      <c r="A418" s="22"/>
      <c r="B418" s="22"/>
      <c r="C418" s="22"/>
      <c r="D418" s="22"/>
      <c r="E418" s="9"/>
      <c r="F418" s="9"/>
      <c r="G418" s="9"/>
      <c r="H418" s="20"/>
      <c r="I418" s="22"/>
    </row>
    <row r="419" customFormat="false" ht="15" hidden="false" customHeight="true" outlineLevel="0" collapsed="false">
      <c r="A419" s="22"/>
      <c r="B419" s="22"/>
      <c r="C419" s="22"/>
      <c r="D419" s="22"/>
      <c r="E419" s="9"/>
      <c r="F419" s="9"/>
      <c r="G419" s="9"/>
      <c r="H419" s="20"/>
      <c r="I419" s="22"/>
    </row>
    <row r="420" customFormat="false" ht="15" hidden="false" customHeight="true" outlineLevel="0" collapsed="false">
      <c r="A420" s="22"/>
      <c r="B420" s="22"/>
      <c r="C420" s="22"/>
      <c r="D420" s="22"/>
      <c r="E420" s="9"/>
      <c r="F420" s="9"/>
      <c r="G420" s="9"/>
      <c r="H420" s="20"/>
      <c r="I420" s="22"/>
    </row>
    <row r="421" customFormat="false" ht="15" hidden="false" customHeight="true" outlineLevel="0" collapsed="false">
      <c r="A421" s="22"/>
      <c r="B421" s="22"/>
      <c r="C421" s="22"/>
      <c r="D421" s="22"/>
      <c r="E421" s="9"/>
      <c r="F421" s="9"/>
      <c r="G421" s="9"/>
      <c r="H421" s="20"/>
      <c r="I421" s="22"/>
    </row>
    <row r="422" customFormat="false" ht="15" hidden="false" customHeight="true" outlineLevel="0" collapsed="false">
      <c r="A422" s="22"/>
      <c r="B422" s="22"/>
      <c r="C422" s="22"/>
      <c r="D422" s="22"/>
      <c r="E422" s="9"/>
      <c r="F422" s="9"/>
      <c r="G422" s="9"/>
      <c r="H422" s="20"/>
      <c r="I422" s="22"/>
    </row>
    <row r="423" customFormat="false" ht="15" hidden="false" customHeight="true" outlineLevel="0" collapsed="false">
      <c r="A423" s="22"/>
      <c r="B423" s="22"/>
      <c r="C423" s="22"/>
      <c r="D423" s="22"/>
      <c r="E423" s="9"/>
      <c r="F423" s="9"/>
      <c r="G423" s="9"/>
      <c r="H423" s="20"/>
      <c r="I423" s="22"/>
    </row>
    <row r="424" customFormat="false" ht="15" hidden="false" customHeight="true" outlineLevel="0" collapsed="false">
      <c r="A424" s="22"/>
      <c r="B424" s="22"/>
      <c r="C424" s="22"/>
      <c r="D424" s="22"/>
      <c r="E424" s="9"/>
      <c r="F424" s="9"/>
      <c r="G424" s="9"/>
      <c r="H424" s="20"/>
      <c r="I424" s="22"/>
    </row>
    <row r="425" customFormat="false" ht="15" hidden="false" customHeight="true" outlineLevel="0" collapsed="false">
      <c r="A425" s="22"/>
      <c r="B425" s="22"/>
      <c r="C425" s="22"/>
      <c r="D425" s="22"/>
      <c r="E425" s="9"/>
      <c r="F425" s="9"/>
      <c r="G425" s="9"/>
      <c r="H425" s="20"/>
      <c r="I425" s="22"/>
    </row>
    <row r="426" customFormat="false" ht="15" hidden="false" customHeight="true" outlineLevel="0" collapsed="false">
      <c r="A426" s="22"/>
      <c r="B426" s="22"/>
      <c r="C426" s="22"/>
      <c r="D426" s="22"/>
      <c r="E426" s="9"/>
      <c r="F426" s="9"/>
      <c r="G426" s="9"/>
      <c r="H426" s="20"/>
      <c r="I426" s="22"/>
    </row>
    <row r="427" customFormat="false" ht="15" hidden="false" customHeight="true" outlineLevel="0" collapsed="false">
      <c r="A427" s="22"/>
      <c r="B427" s="22"/>
      <c r="C427" s="22"/>
      <c r="D427" s="22"/>
      <c r="E427" s="9"/>
      <c r="F427" s="9"/>
      <c r="G427" s="9"/>
      <c r="H427" s="20"/>
      <c r="I427" s="22"/>
    </row>
    <row r="428" customFormat="false" ht="15" hidden="false" customHeight="true" outlineLevel="0" collapsed="false">
      <c r="A428" s="22"/>
      <c r="B428" s="22"/>
      <c r="C428" s="22"/>
      <c r="D428" s="22"/>
      <c r="E428" s="9"/>
      <c r="F428" s="9"/>
      <c r="G428" s="9"/>
      <c r="H428" s="20"/>
      <c r="I428" s="22"/>
    </row>
    <row r="429" customFormat="false" ht="15" hidden="false" customHeight="true" outlineLevel="0" collapsed="false">
      <c r="A429" s="22"/>
      <c r="B429" s="22"/>
      <c r="C429" s="22"/>
      <c r="D429" s="22"/>
      <c r="E429" s="9"/>
      <c r="F429" s="9"/>
      <c r="G429" s="9"/>
      <c r="H429" s="20"/>
      <c r="I429" s="22"/>
    </row>
    <row r="430" customFormat="false" ht="15" hidden="false" customHeight="true" outlineLevel="0" collapsed="false">
      <c r="A430" s="22"/>
      <c r="B430" s="22"/>
      <c r="C430" s="22"/>
      <c r="D430" s="22"/>
      <c r="E430" s="9"/>
      <c r="F430" s="9"/>
      <c r="G430" s="9"/>
      <c r="H430" s="20"/>
      <c r="I430" s="22"/>
    </row>
    <row r="431" customFormat="false" ht="15" hidden="false" customHeight="true" outlineLevel="0" collapsed="false">
      <c r="A431" s="22"/>
      <c r="B431" s="22"/>
      <c r="C431" s="22"/>
      <c r="D431" s="22"/>
      <c r="E431" s="9"/>
      <c r="F431" s="9"/>
      <c r="G431" s="9"/>
      <c r="H431" s="20"/>
      <c r="I431" s="22"/>
    </row>
    <row r="432" customFormat="false" ht="15" hidden="false" customHeight="true" outlineLevel="0" collapsed="false">
      <c r="A432" s="22"/>
      <c r="B432" s="22"/>
      <c r="C432" s="22"/>
      <c r="D432" s="22"/>
      <c r="E432" s="9"/>
      <c r="F432" s="9"/>
      <c r="G432" s="9"/>
      <c r="H432" s="20"/>
      <c r="I432" s="22"/>
    </row>
    <row r="433" customFormat="false" ht="15" hidden="false" customHeight="true" outlineLevel="0" collapsed="false">
      <c r="A433" s="22"/>
      <c r="B433" s="22"/>
      <c r="C433" s="22"/>
      <c r="D433" s="22"/>
      <c r="E433" s="9"/>
      <c r="F433" s="9"/>
      <c r="G433" s="9"/>
      <c r="H433" s="20"/>
      <c r="I433" s="22"/>
    </row>
    <row r="434" customFormat="false" ht="15" hidden="false" customHeight="true" outlineLevel="0" collapsed="false">
      <c r="A434" s="22"/>
      <c r="B434" s="22"/>
      <c r="C434" s="22"/>
      <c r="D434" s="22"/>
      <c r="E434" s="9"/>
      <c r="F434" s="9"/>
      <c r="G434" s="9"/>
      <c r="H434" s="20"/>
      <c r="I434" s="22"/>
    </row>
    <row r="435" customFormat="false" ht="15" hidden="false" customHeight="true" outlineLevel="0" collapsed="false">
      <c r="A435" s="22"/>
      <c r="B435" s="22"/>
      <c r="C435" s="22"/>
      <c r="D435" s="22"/>
      <c r="E435" s="9"/>
      <c r="F435" s="9"/>
      <c r="G435" s="9"/>
      <c r="H435" s="20"/>
      <c r="I435" s="22"/>
    </row>
    <row r="436" customFormat="false" ht="15" hidden="false" customHeight="true" outlineLevel="0" collapsed="false">
      <c r="A436" s="22"/>
      <c r="B436" s="22"/>
      <c r="C436" s="22"/>
      <c r="D436" s="22"/>
      <c r="E436" s="9"/>
      <c r="F436" s="9"/>
      <c r="G436" s="9"/>
      <c r="H436" s="20"/>
      <c r="I436" s="22"/>
    </row>
    <row r="437" customFormat="false" ht="15" hidden="false" customHeight="true" outlineLevel="0" collapsed="false">
      <c r="A437" s="22"/>
      <c r="B437" s="22"/>
      <c r="C437" s="22"/>
      <c r="D437" s="22"/>
      <c r="E437" s="9"/>
      <c r="F437" s="9"/>
      <c r="G437" s="9"/>
      <c r="H437" s="20"/>
      <c r="I437" s="22"/>
    </row>
    <row r="438" customFormat="false" ht="15" hidden="false" customHeight="true" outlineLevel="0" collapsed="false">
      <c r="A438" s="22"/>
      <c r="B438" s="22"/>
      <c r="C438" s="22"/>
      <c r="D438" s="22"/>
      <c r="E438" s="9"/>
      <c r="F438" s="9"/>
      <c r="G438" s="9"/>
      <c r="H438" s="20"/>
      <c r="I438" s="22"/>
    </row>
    <row r="439" customFormat="false" ht="15" hidden="false" customHeight="true" outlineLevel="0" collapsed="false">
      <c r="A439" s="22"/>
      <c r="B439" s="22"/>
      <c r="C439" s="22"/>
      <c r="D439" s="22"/>
      <c r="E439" s="9"/>
      <c r="F439" s="9"/>
      <c r="G439" s="9"/>
      <c r="H439" s="20"/>
      <c r="I439" s="22"/>
    </row>
    <row r="440" customFormat="false" ht="15" hidden="false" customHeight="true" outlineLevel="0" collapsed="false">
      <c r="A440" s="22"/>
      <c r="B440" s="22"/>
      <c r="C440" s="22"/>
      <c r="D440" s="22"/>
      <c r="E440" s="9"/>
      <c r="F440" s="9"/>
      <c r="G440" s="9"/>
      <c r="H440" s="20"/>
      <c r="I440" s="22"/>
    </row>
    <row r="441" customFormat="false" ht="15" hidden="false" customHeight="true" outlineLevel="0" collapsed="false">
      <c r="A441" s="22"/>
      <c r="B441" s="22"/>
      <c r="C441" s="22"/>
      <c r="D441" s="22"/>
      <c r="E441" s="9"/>
      <c r="F441" s="9"/>
      <c r="G441" s="9"/>
      <c r="H441" s="20"/>
      <c r="I441" s="22"/>
    </row>
    <row r="442" customFormat="false" ht="15" hidden="false" customHeight="true" outlineLevel="0" collapsed="false">
      <c r="A442" s="22"/>
      <c r="B442" s="22"/>
      <c r="C442" s="22"/>
      <c r="D442" s="22"/>
      <c r="E442" s="9"/>
      <c r="F442" s="9"/>
      <c r="G442" s="9"/>
      <c r="H442" s="20"/>
      <c r="I442" s="22"/>
    </row>
    <row r="443" customFormat="false" ht="15" hidden="false" customHeight="true" outlineLevel="0" collapsed="false">
      <c r="A443" s="22"/>
      <c r="B443" s="22"/>
      <c r="C443" s="22"/>
      <c r="D443" s="22"/>
      <c r="E443" s="9"/>
      <c r="F443" s="9"/>
      <c r="G443" s="9"/>
      <c r="H443" s="20"/>
      <c r="I443" s="22"/>
    </row>
    <row r="444" customFormat="false" ht="15" hidden="false" customHeight="true" outlineLevel="0" collapsed="false">
      <c r="A444" s="22"/>
      <c r="B444" s="22"/>
      <c r="C444" s="22"/>
      <c r="D444" s="22"/>
      <c r="E444" s="9"/>
      <c r="F444" s="9"/>
      <c r="G444" s="9"/>
      <c r="H444" s="20"/>
      <c r="I444" s="22"/>
    </row>
    <row r="445" customFormat="false" ht="15" hidden="false" customHeight="true" outlineLevel="0" collapsed="false">
      <c r="A445" s="22"/>
      <c r="B445" s="22"/>
      <c r="C445" s="22"/>
      <c r="D445" s="22"/>
      <c r="E445" s="9"/>
      <c r="F445" s="9"/>
      <c r="G445" s="9"/>
      <c r="H445" s="20"/>
      <c r="I445" s="22"/>
    </row>
    <row r="446" customFormat="false" ht="15" hidden="false" customHeight="true" outlineLevel="0" collapsed="false">
      <c r="A446" s="22"/>
      <c r="B446" s="22"/>
      <c r="C446" s="22"/>
      <c r="D446" s="22"/>
      <c r="E446" s="9"/>
      <c r="F446" s="9"/>
      <c r="G446" s="9"/>
      <c r="H446" s="20"/>
      <c r="I446" s="22"/>
    </row>
    <row r="447" customFormat="false" ht="15" hidden="false" customHeight="true" outlineLevel="0" collapsed="false">
      <c r="A447" s="22"/>
      <c r="B447" s="22"/>
      <c r="C447" s="22"/>
      <c r="D447" s="22"/>
      <c r="E447" s="9"/>
      <c r="F447" s="9"/>
      <c r="G447" s="9"/>
      <c r="H447" s="20"/>
      <c r="I447" s="22"/>
    </row>
    <row r="448" customFormat="false" ht="15" hidden="false" customHeight="true" outlineLevel="0" collapsed="false">
      <c r="A448" s="22"/>
      <c r="B448" s="22"/>
      <c r="C448" s="22"/>
      <c r="D448" s="22"/>
      <c r="E448" s="9"/>
      <c r="F448" s="9"/>
      <c r="G448" s="9"/>
      <c r="H448" s="20"/>
      <c r="I448" s="22"/>
    </row>
    <row r="449" customFormat="false" ht="15" hidden="false" customHeight="true" outlineLevel="0" collapsed="false">
      <c r="A449" s="22"/>
      <c r="B449" s="22"/>
      <c r="C449" s="22"/>
      <c r="D449" s="22"/>
      <c r="E449" s="9"/>
      <c r="F449" s="9"/>
      <c r="G449" s="9"/>
      <c r="H449" s="20"/>
      <c r="I449" s="22"/>
    </row>
    <row r="450" customFormat="false" ht="15" hidden="false" customHeight="true" outlineLevel="0" collapsed="false">
      <c r="A450" s="22"/>
      <c r="B450" s="22"/>
      <c r="C450" s="22"/>
      <c r="D450" s="22"/>
      <c r="E450" s="9"/>
      <c r="F450" s="9"/>
      <c r="G450" s="9"/>
      <c r="H450" s="20"/>
      <c r="I450" s="22"/>
    </row>
    <row r="451" customFormat="false" ht="15" hidden="false" customHeight="true" outlineLevel="0" collapsed="false">
      <c r="A451" s="22"/>
      <c r="B451" s="22"/>
      <c r="C451" s="22"/>
      <c r="D451" s="22"/>
      <c r="E451" s="9"/>
      <c r="F451" s="9"/>
      <c r="G451" s="9"/>
      <c r="H451" s="20"/>
      <c r="I451" s="22"/>
    </row>
    <row r="452" customFormat="false" ht="15" hidden="false" customHeight="true" outlineLevel="0" collapsed="false">
      <c r="A452" s="22"/>
      <c r="B452" s="22"/>
      <c r="C452" s="22"/>
      <c r="D452" s="22"/>
      <c r="E452" s="9"/>
      <c r="F452" s="9"/>
      <c r="G452" s="9"/>
      <c r="H452" s="20"/>
      <c r="I452" s="22"/>
    </row>
    <row r="453" customFormat="false" ht="15" hidden="false" customHeight="true" outlineLevel="0" collapsed="false">
      <c r="A453" s="22"/>
      <c r="B453" s="22"/>
      <c r="C453" s="22"/>
      <c r="D453" s="22"/>
      <c r="E453" s="9"/>
      <c r="F453" s="9"/>
      <c r="G453" s="9"/>
      <c r="H453" s="20"/>
      <c r="I453" s="22"/>
    </row>
    <row r="454" customFormat="false" ht="15" hidden="false" customHeight="true" outlineLevel="0" collapsed="false">
      <c r="A454" s="22"/>
      <c r="B454" s="22"/>
      <c r="C454" s="22"/>
      <c r="D454" s="22"/>
      <c r="E454" s="9"/>
      <c r="F454" s="9"/>
      <c r="G454" s="9"/>
      <c r="H454" s="20"/>
      <c r="I454" s="22"/>
    </row>
    <row r="455" customFormat="false" ht="15" hidden="false" customHeight="true" outlineLevel="0" collapsed="false">
      <c r="A455" s="22"/>
      <c r="B455" s="22"/>
      <c r="C455" s="22"/>
      <c r="D455" s="22"/>
      <c r="E455" s="9"/>
      <c r="F455" s="9"/>
      <c r="G455" s="9"/>
      <c r="H455" s="20"/>
      <c r="I455" s="22"/>
    </row>
    <row r="456" customFormat="false" ht="15" hidden="false" customHeight="true" outlineLevel="0" collapsed="false">
      <c r="A456" s="22"/>
      <c r="B456" s="22"/>
      <c r="C456" s="22"/>
      <c r="D456" s="22"/>
      <c r="E456" s="9"/>
      <c r="F456" s="9"/>
      <c r="G456" s="9"/>
      <c r="H456" s="20"/>
      <c r="I456" s="22"/>
    </row>
    <row r="457" customFormat="false" ht="15" hidden="false" customHeight="true" outlineLevel="0" collapsed="false">
      <c r="A457" s="22"/>
      <c r="B457" s="22"/>
      <c r="C457" s="22"/>
      <c r="D457" s="22"/>
      <c r="E457" s="9"/>
      <c r="F457" s="9"/>
      <c r="G457" s="9"/>
      <c r="H457" s="20"/>
      <c r="I457" s="22"/>
    </row>
    <row r="458" customFormat="false" ht="15" hidden="false" customHeight="true" outlineLevel="0" collapsed="false">
      <c r="A458" s="22"/>
      <c r="B458" s="22"/>
      <c r="C458" s="22"/>
      <c r="D458" s="22"/>
      <c r="E458" s="9"/>
      <c r="F458" s="9"/>
      <c r="G458" s="9"/>
      <c r="H458" s="20"/>
      <c r="I458" s="22"/>
    </row>
    <row r="459" customFormat="false" ht="15" hidden="false" customHeight="true" outlineLevel="0" collapsed="false">
      <c r="A459" s="22"/>
      <c r="B459" s="22"/>
      <c r="C459" s="22"/>
      <c r="D459" s="22"/>
      <c r="E459" s="9"/>
      <c r="F459" s="9"/>
      <c r="G459" s="9"/>
      <c r="H459" s="20"/>
      <c r="I459" s="22"/>
    </row>
    <row r="460" customFormat="false" ht="15" hidden="false" customHeight="true" outlineLevel="0" collapsed="false">
      <c r="A460" s="22"/>
      <c r="B460" s="22"/>
      <c r="C460" s="22"/>
      <c r="D460" s="22"/>
      <c r="E460" s="9"/>
      <c r="F460" s="9"/>
      <c r="G460" s="9"/>
      <c r="H460" s="20"/>
      <c r="I460" s="22"/>
    </row>
    <row r="461" customFormat="false" ht="15" hidden="false" customHeight="true" outlineLevel="0" collapsed="false">
      <c r="A461" s="22"/>
      <c r="B461" s="22"/>
      <c r="C461" s="22"/>
      <c r="D461" s="22"/>
      <c r="E461" s="9"/>
      <c r="F461" s="9"/>
      <c r="G461" s="9"/>
      <c r="H461" s="20"/>
      <c r="I461" s="22"/>
    </row>
    <row r="462" customFormat="false" ht="15" hidden="false" customHeight="true" outlineLevel="0" collapsed="false">
      <c r="A462" s="22"/>
      <c r="B462" s="22"/>
      <c r="C462" s="22"/>
      <c r="D462" s="22"/>
      <c r="E462" s="9"/>
      <c r="F462" s="9"/>
      <c r="G462" s="9"/>
      <c r="H462" s="20"/>
      <c r="I462" s="22"/>
    </row>
    <row r="463" customFormat="false" ht="15" hidden="false" customHeight="true" outlineLevel="0" collapsed="false">
      <c r="A463" s="22"/>
      <c r="B463" s="22"/>
      <c r="C463" s="22"/>
      <c r="D463" s="22"/>
      <c r="E463" s="9"/>
      <c r="F463" s="9"/>
      <c r="G463" s="9"/>
      <c r="H463" s="20"/>
      <c r="I463" s="22"/>
    </row>
    <row r="464" customFormat="false" ht="15" hidden="false" customHeight="true" outlineLevel="0" collapsed="false">
      <c r="A464" s="22"/>
      <c r="B464" s="22"/>
      <c r="C464" s="22"/>
      <c r="D464" s="22"/>
      <c r="E464" s="9"/>
      <c r="F464" s="9"/>
      <c r="G464" s="9"/>
      <c r="H464" s="20"/>
      <c r="I464" s="22"/>
    </row>
    <row r="465" customFormat="false" ht="15" hidden="false" customHeight="true" outlineLevel="0" collapsed="false">
      <c r="A465" s="22"/>
      <c r="B465" s="22"/>
      <c r="C465" s="22"/>
      <c r="D465" s="22"/>
      <c r="E465" s="9"/>
      <c r="F465" s="9"/>
      <c r="G465" s="9"/>
      <c r="H465" s="20"/>
      <c r="I465" s="22"/>
    </row>
    <row r="466" customFormat="false" ht="15" hidden="false" customHeight="true" outlineLevel="0" collapsed="false">
      <c r="A466" s="22"/>
      <c r="B466" s="22"/>
      <c r="C466" s="22"/>
      <c r="D466" s="22"/>
      <c r="E466" s="9"/>
      <c r="F466" s="9"/>
      <c r="G466" s="9"/>
      <c r="H466" s="20"/>
      <c r="I466" s="22"/>
    </row>
    <row r="467" customFormat="false" ht="15" hidden="false" customHeight="true" outlineLevel="0" collapsed="false">
      <c r="A467" s="22"/>
      <c r="B467" s="22"/>
      <c r="C467" s="22"/>
      <c r="D467" s="22"/>
      <c r="E467" s="9"/>
      <c r="F467" s="9"/>
      <c r="G467" s="9"/>
      <c r="H467" s="20"/>
      <c r="I467" s="22"/>
    </row>
    <row r="468" customFormat="false" ht="15" hidden="false" customHeight="true" outlineLevel="0" collapsed="false">
      <c r="A468" s="22"/>
      <c r="B468" s="22"/>
      <c r="C468" s="22"/>
      <c r="D468" s="22"/>
      <c r="E468" s="9"/>
      <c r="F468" s="9"/>
      <c r="G468" s="9"/>
      <c r="H468" s="20"/>
      <c r="I468" s="22"/>
    </row>
    <row r="469" customFormat="false" ht="15" hidden="false" customHeight="true" outlineLevel="0" collapsed="false">
      <c r="A469" s="22"/>
      <c r="B469" s="22"/>
      <c r="C469" s="22"/>
      <c r="D469" s="22"/>
      <c r="E469" s="9"/>
      <c r="F469" s="9"/>
      <c r="G469" s="9"/>
      <c r="H469" s="20"/>
      <c r="I469" s="22"/>
    </row>
    <row r="470" customFormat="false" ht="15" hidden="false" customHeight="true" outlineLevel="0" collapsed="false">
      <c r="A470" s="22"/>
      <c r="B470" s="22"/>
      <c r="C470" s="22"/>
      <c r="D470" s="22"/>
      <c r="E470" s="9"/>
      <c r="F470" s="9"/>
      <c r="G470" s="9"/>
      <c r="H470" s="20"/>
      <c r="I470" s="22"/>
    </row>
    <row r="471" customFormat="false" ht="15" hidden="false" customHeight="true" outlineLevel="0" collapsed="false">
      <c r="A471" s="22"/>
      <c r="B471" s="22"/>
      <c r="C471" s="22"/>
      <c r="D471" s="22"/>
      <c r="E471" s="9"/>
      <c r="F471" s="9"/>
      <c r="G471" s="9"/>
      <c r="H471" s="20"/>
      <c r="I471" s="22"/>
    </row>
    <row r="472" customFormat="false" ht="15" hidden="false" customHeight="true" outlineLevel="0" collapsed="false">
      <c r="A472" s="22"/>
      <c r="B472" s="22"/>
      <c r="C472" s="22"/>
      <c r="D472" s="22"/>
      <c r="E472" s="9"/>
      <c r="F472" s="9"/>
      <c r="G472" s="9"/>
      <c r="H472" s="20"/>
      <c r="I472" s="22"/>
    </row>
    <row r="473" customFormat="false" ht="15" hidden="false" customHeight="true" outlineLevel="0" collapsed="false">
      <c r="A473" s="22"/>
      <c r="B473" s="22"/>
      <c r="C473" s="22"/>
      <c r="D473" s="22"/>
      <c r="E473" s="9"/>
      <c r="F473" s="9"/>
      <c r="G473" s="9"/>
      <c r="H473" s="20"/>
      <c r="I473" s="22"/>
    </row>
    <row r="474" customFormat="false" ht="15" hidden="false" customHeight="true" outlineLevel="0" collapsed="false">
      <c r="A474" s="22"/>
      <c r="B474" s="22"/>
      <c r="C474" s="22"/>
      <c r="D474" s="22"/>
      <c r="E474" s="9"/>
      <c r="F474" s="9"/>
      <c r="G474" s="9"/>
      <c r="H474" s="20"/>
      <c r="I474" s="22"/>
    </row>
    <row r="475" customFormat="false" ht="15" hidden="false" customHeight="true" outlineLevel="0" collapsed="false">
      <c r="A475" s="22"/>
      <c r="B475" s="22"/>
      <c r="C475" s="22"/>
      <c r="D475" s="22"/>
      <c r="E475" s="9"/>
      <c r="F475" s="9"/>
      <c r="G475" s="9"/>
      <c r="H475" s="20"/>
      <c r="I475" s="22"/>
    </row>
    <row r="476" customFormat="false" ht="15" hidden="false" customHeight="true" outlineLevel="0" collapsed="false">
      <c r="A476" s="22"/>
      <c r="B476" s="22"/>
      <c r="C476" s="22"/>
      <c r="D476" s="22"/>
      <c r="E476" s="9"/>
      <c r="F476" s="9"/>
      <c r="G476" s="9"/>
      <c r="H476" s="20"/>
      <c r="I476" s="22"/>
    </row>
    <row r="477" customFormat="false" ht="15" hidden="false" customHeight="true" outlineLevel="0" collapsed="false">
      <c r="A477" s="22"/>
      <c r="B477" s="22"/>
      <c r="C477" s="22"/>
      <c r="D477" s="22"/>
      <c r="E477" s="9"/>
      <c r="F477" s="9"/>
      <c r="G477" s="9"/>
      <c r="H477" s="20"/>
      <c r="I477" s="22"/>
    </row>
    <row r="478" customFormat="false" ht="15" hidden="false" customHeight="true" outlineLevel="0" collapsed="false">
      <c r="A478" s="22"/>
      <c r="B478" s="22"/>
      <c r="C478" s="22"/>
      <c r="D478" s="22"/>
      <c r="E478" s="9"/>
      <c r="F478" s="9"/>
      <c r="G478" s="9"/>
      <c r="H478" s="20"/>
      <c r="I478" s="22"/>
    </row>
    <row r="479" customFormat="false" ht="15" hidden="false" customHeight="true" outlineLevel="0" collapsed="false">
      <c r="A479" s="22"/>
      <c r="B479" s="22"/>
      <c r="C479" s="22"/>
      <c r="D479" s="22"/>
      <c r="E479" s="9"/>
      <c r="F479" s="9"/>
      <c r="G479" s="9"/>
      <c r="H479" s="20"/>
      <c r="I479" s="22"/>
    </row>
    <row r="480" customFormat="false" ht="15" hidden="false" customHeight="true" outlineLevel="0" collapsed="false">
      <c r="A480" s="22"/>
      <c r="B480" s="22"/>
      <c r="C480" s="22"/>
      <c r="D480" s="22"/>
      <c r="E480" s="9"/>
      <c r="F480" s="9"/>
      <c r="G480" s="9"/>
      <c r="H480" s="20"/>
      <c r="I480" s="22"/>
    </row>
    <row r="481" customFormat="false" ht="15" hidden="false" customHeight="true" outlineLevel="0" collapsed="false">
      <c r="A481" s="22"/>
      <c r="B481" s="22"/>
      <c r="C481" s="22"/>
      <c r="D481" s="22"/>
      <c r="E481" s="9"/>
      <c r="F481" s="9"/>
      <c r="G481" s="9"/>
      <c r="H481" s="20"/>
      <c r="I481" s="22"/>
    </row>
    <row r="482" customFormat="false" ht="15" hidden="false" customHeight="true" outlineLevel="0" collapsed="false">
      <c r="A482" s="22"/>
      <c r="B482" s="22"/>
      <c r="C482" s="22"/>
      <c r="D482" s="22"/>
      <c r="E482" s="9"/>
      <c r="F482" s="9"/>
      <c r="G482" s="9"/>
      <c r="H482" s="20"/>
      <c r="I482" s="22"/>
    </row>
    <row r="483" customFormat="false" ht="15" hidden="false" customHeight="true" outlineLevel="0" collapsed="false">
      <c r="A483" s="22"/>
      <c r="B483" s="22"/>
      <c r="C483" s="22"/>
      <c r="D483" s="22"/>
      <c r="E483" s="9"/>
      <c r="F483" s="9"/>
      <c r="G483" s="9"/>
      <c r="H483" s="20"/>
      <c r="I483" s="22"/>
    </row>
    <row r="484" customFormat="false" ht="15" hidden="false" customHeight="true" outlineLevel="0" collapsed="false">
      <c r="A484" s="22"/>
      <c r="B484" s="22"/>
      <c r="C484" s="22"/>
      <c r="D484" s="22"/>
      <c r="E484" s="9"/>
      <c r="F484" s="9"/>
      <c r="G484" s="9"/>
      <c r="H484" s="20"/>
      <c r="I484" s="22"/>
    </row>
    <row r="485" customFormat="false" ht="15" hidden="false" customHeight="true" outlineLevel="0" collapsed="false">
      <c r="A485" s="22"/>
      <c r="B485" s="22"/>
      <c r="C485" s="22"/>
      <c r="D485" s="22"/>
      <c r="E485" s="9"/>
      <c r="F485" s="9"/>
      <c r="G485" s="9"/>
      <c r="H485" s="20"/>
      <c r="I485" s="22"/>
    </row>
    <row r="486" customFormat="false" ht="15" hidden="false" customHeight="true" outlineLevel="0" collapsed="false">
      <c r="A486" s="22"/>
      <c r="B486" s="22"/>
      <c r="C486" s="22"/>
      <c r="D486" s="22"/>
      <c r="E486" s="9"/>
      <c r="F486" s="9"/>
      <c r="G486" s="9"/>
      <c r="H486" s="20"/>
      <c r="I486" s="22"/>
    </row>
    <row r="487" customFormat="false" ht="15" hidden="false" customHeight="true" outlineLevel="0" collapsed="false">
      <c r="A487" s="22"/>
      <c r="B487" s="22"/>
      <c r="C487" s="22"/>
      <c r="D487" s="22"/>
      <c r="E487" s="9"/>
      <c r="F487" s="9"/>
      <c r="G487" s="9"/>
      <c r="H487" s="20"/>
      <c r="I487" s="22"/>
    </row>
    <row r="488" customFormat="false" ht="15" hidden="false" customHeight="true" outlineLevel="0" collapsed="false">
      <c r="A488" s="22"/>
      <c r="B488" s="22"/>
      <c r="C488" s="22"/>
      <c r="D488" s="22"/>
      <c r="E488" s="9"/>
      <c r="F488" s="9"/>
      <c r="G488" s="9"/>
      <c r="H488" s="20"/>
      <c r="I488" s="22"/>
    </row>
    <row r="489" customFormat="false" ht="15" hidden="false" customHeight="true" outlineLevel="0" collapsed="false">
      <c r="A489" s="22"/>
      <c r="B489" s="22"/>
      <c r="C489" s="22"/>
      <c r="D489" s="22"/>
      <c r="E489" s="9"/>
      <c r="F489" s="9"/>
      <c r="G489" s="9"/>
      <c r="H489" s="20"/>
      <c r="I489" s="22"/>
    </row>
    <row r="490" customFormat="false" ht="15" hidden="false" customHeight="true" outlineLevel="0" collapsed="false">
      <c r="A490" s="22"/>
      <c r="B490" s="22"/>
      <c r="C490" s="22"/>
      <c r="D490" s="22"/>
      <c r="E490" s="9"/>
      <c r="F490" s="9"/>
      <c r="G490" s="9"/>
      <c r="H490" s="20"/>
      <c r="I490" s="22"/>
    </row>
    <row r="491" customFormat="false" ht="15" hidden="false" customHeight="true" outlineLevel="0" collapsed="false">
      <c r="A491" s="22"/>
      <c r="B491" s="22"/>
      <c r="C491" s="22"/>
      <c r="D491" s="22"/>
      <c r="E491" s="9"/>
      <c r="F491" s="9"/>
      <c r="G491" s="9"/>
      <c r="H491" s="20"/>
      <c r="I491" s="22"/>
    </row>
    <row r="492" customFormat="false" ht="15" hidden="false" customHeight="true" outlineLevel="0" collapsed="false">
      <c r="A492" s="22"/>
      <c r="B492" s="22"/>
      <c r="C492" s="22"/>
      <c r="D492" s="22"/>
      <c r="E492" s="9"/>
      <c r="F492" s="9"/>
      <c r="G492" s="9"/>
      <c r="H492" s="20"/>
      <c r="I492" s="22"/>
    </row>
    <row r="493" customFormat="false" ht="15" hidden="false" customHeight="true" outlineLevel="0" collapsed="false">
      <c r="A493" s="22"/>
      <c r="B493" s="22"/>
      <c r="C493" s="22"/>
      <c r="D493" s="22"/>
      <c r="E493" s="9"/>
      <c r="F493" s="9"/>
      <c r="G493" s="9"/>
      <c r="H493" s="20"/>
      <c r="I493" s="22"/>
    </row>
    <row r="494" customFormat="false" ht="15" hidden="false" customHeight="true" outlineLevel="0" collapsed="false">
      <c r="A494" s="22"/>
      <c r="B494" s="22"/>
      <c r="C494" s="22"/>
      <c r="D494" s="22"/>
      <c r="E494" s="9"/>
      <c r="F494" s="9"/>
      <c r="G494" s="9"/>
      <c r="H494" s="20"/>
      <c r="I494" s="22"/>
    </row>
    <row r="495" customFormat="false" ht="15" hidden="false" customHeight="true" outlineLevel="0" collapsed="false">
      <c r="A495" s="22"/>
      <c r="B495" s="22"/>
      <c r="C495" s="22"/>
      <c r="D495" s="22"/>
      <c r="E495" s="9"/>
      <c r="F495" s="9"/>
      <c r="G495" s="9"/>
      <c r="H495" s="20"/>
      <c r="I495" s="22"/>
    </row>
    <row r="496" customFormat="false" ht="15" hidden="false" customHeight="true" outlineLevel="0" collapsed="false">
      <c r="A496" s="22"/>
      <c r="B496" s="22"/>
      <c r="C496" s="22"/>
      <c r="D496" s="22"/>
      <c r="E496" s="9"/>
      <c r="F496" s="9"/>
      <c r="G496" s="9"/>
      <c r="H496" s="20"/>
      <c r="I496" s="22"/>
    </row>
    <row r="497" customFormat="false" ht="15" hidden="false" customHeight="true" outlineLevel="0" collapsed="false">
      <c r="A497" s="22"/>
      <c r="B497" s="22"/>
      <c r="C497" s="22"/>
      <c r="D497" s="22"/>
      <c r="E497" s="9"/>
      <c r="F497" s="9"/>
      <c r="G497" s="9"/>
      <c r="H497" s="20"/>
      <c r="I497" s="22"/>
    </row>
    <row r="498" customFormat="false" ht="15" hidden="false" customHeight="true" outlineLevel="0" collapsed="false">
      <c r="A498" s="22"/>
      <c r="B498" s="22"/>
      <c r="C498" s="22"/>
      <c r="D498" s="22"/>
      <c r="E498" s="9"/>
      <c r="F498" s="9"/>
      <c r="G498" s="9"/>
      <c r="H498" s="20"/>
      <c r="I498" s="22"/>
    </row>
    <row r="499" customFormat="false" ht="15" hidden="false" customHeight="true" outlineLevel="0" collapsed="false">
      <c r="A499" s="22"/>
      <c r="B499" s="22"/>
      <c r="C499" s="22"/>
      <c r="D499" s="22"/>
      <c r="E499" s="9"/>
      <c r="F499" s="9"/>
      <c r="G499" s="9"/>
      <c r="H499" s="20"/>
      <c r="I499" s="22"/>
    </row>
    <row r="500" customFormat="false" ht="15" hidden="false" customHeight="true" outlineLevel="0" collapsed="false">
      <c r="A500" s="22"/>
      <c r="B500" s="22"/>
      <c r="C500" s="22"/>
      <c r="D500" s="22"/>
      <c r="E500" s="9"/>
      <c r="F500" s="9"/>
      <c r="G500" s="9"/>
      <c r="H500" s="20"/>
      <c r="I500" s="22"/>
    </row>
    <row r="501" customFormat="false" ht="15" hidden="false" customHeight="true" outlineLevel="0" collapsed="false">
      <c r="A501" s="22"/>
      <c r="B501" s="22"/>
      <c r="C501" s="22"/>
      <c r="D501" s="22"/>
      <c r="E501" s="9"/>
      <c r="F501" s="9"/>
      <c r="G501" s="9"/>
      <c r="H501" s="20"/>
      <c r="I501" s="22"/>
    </row>
    <row r="502" customFormat="false" ht="15" hidden="false" customHeight="true" outlineLevel="0" collapsed="false">
      <c r="A502" s="22"/>
      <c r="B502" s="22"/>
      <c r="C502" s="22"/>
      <c r="D502" s="22"/>
      <c r="E502" s="9"/>
      <c r="F502" s="9"/>
      <c r="G502" s="9"/>
      <c r="H502" s="20"/>
      <c r="I502" s="22"/>
    </row>
    <row r="503" customFormat="false" ht="15" hidden="false" customHeight="true" outlineLevel="0" collapsed="false">
      <c r="A503" s="22"/>
      <c r="B503" s="22"/>
      <c r="C503" s="22"/>
      <c r="D503" s="22"/>
      <c r="E503" s="9"/>
      <c r="F503" s="9"/>
      <c r="G503" s="9"/>
      <c r="H503" s="20"/>
      <c r="I503" s="22"/>
    </row>
    <row r="504" customFormat="false" ht="15" hidden="false" customHeight="true" outlineLevel="0" collapsed="false">
      <c r="A504" s="22"/>
      <c r="B504" s="22"/>
      <c r="C504" s="22"/>
      <c r="D504" s="22"/>
      <c r="E504" s="9"/>
      <c r="F504" s="9"/>
      <c r="G504" s="9"/>
      <c r="H504" s="20"/>
      <c r="I504" s="22"/>
    </row>
    <row r="505" customFormat="false" ht="15" hidden="false" customHeight="true" outlineLevel="0" collapsed="false">
      <c r="A505" s="22"/>
      <c r="B505" s="22"/>
      <c r="C505" s="22"/>
      <c r="D505" s="22"/>
      <c r="E505" s="9"/>
      <c r="F505" s="9"/>
      <c r="G505" s="9"/>
      <c r="H505" s="20"/>
      <c r="I505" s="22"/>
    </row>
    <row r="506" customFormat="false" ht="15" hidden="false" customHeight="true" outlineLevel="0" collapsed="false">
      <c r="A506" s="22"/>
      <c r="B506" s="22"/>
      <c r="C506" s="22"/>
      <c r="D506" s="22"/>
      <c r="E506" s="9"/>
      <c r="F506" s="9"/>
      <c r="G506" s="9"/>
      <c r="H506" s="20"/>
      <c r="I506" s="22"/>
    </row>
    <row r="507" customFormat="false" ht="15" hidden="false" customHeight="true" outlineLevel="0" collapsed="false">
      <c r="A507" s="22"/>
      <c r="B507" s="22"/>
      <c r="C507" s="22"/>
      <c r="D507" s="22"/>
      <c r="E507" s="9"/>
      <c r="F507" s="9"/>
      <c r="G507" s="9"/>
      <c r="H507" s="20"/>
      <c r="I507" s="22"/>
    </row>
    <row r="508" customFormat="false" ht="15" hidden="false" customHeight="true" outlineLevel="0" collapsed="false">
      <c r="A508" s="22"/>
      <c r="B508" s="22"/>
      <c r="C508" s="22"/>
      <c r="D508" s="22"/>
      <c r="E508" s="9"/>
      <c r="F508" s="9"/>
      <c r="G508" s="9"/>
      <c r="H508" s="20"/>
      <c r="I508" s="22"/>
    </row>
    <row r="509" customFormat="false" ht="15" hidden="false" customHeight="true" outlineLevel="0" collapsed="false">
      <c r="A509" s="22"/>
      <c r="B509" s="22"/>
      <c r="C509" s="22"/>
      <c r="D509" s="22"/>
      <c r="E509" s="9"/>
      <c r="F509" s="9"/>
      <c r="G509" s="9"/>
      <c r="H509" s="20"/>
      <c r="I509" s="22"/>
    </row>
    <row r="510" customFormat="false" ht="15" hidden="false" customHeight="true" outlineLevel="0" collapsed="false">
      <c r="A510" s="22"/>
      <c r="B510" s="22"/>
      <c r="C510" s="22"/>
      <c r="D510" s="22"/>
      <c r="E510" s="9"/>
      <c r="F510" s="9"/>
      <c r="G510" s="9"/>
      <c r="H510" s="20"/>
      <c r="I510" s="22"/>
    </row>
    <row r="511" customFormat="false" ht="15" hidden="false" customHeight="true" outlineLevel="0" collapsed="false">
      <c r="A511" s="22"/>
      <c r="B511" s="22"/>
      <c r="C511" s="22"/>
      <c r="D511" s="22"/>
      <c r="E511" s="9"/>
      <c r="F511" s="9"/>
      <c r="G511" s="9"/>
      <c r="H511" s="20"/>
      <c r="I511" s="22"/>
    </row>
    <row r="512" customFormat="false" ht="15" hidden="false" customHeight="true" outlineLevel="0" collapsed="false">
      <c r="A512" s="22"/>
      <c r="B512" s="22"/>
      <c r="C512" s="22"/>
      <c r="D512" s="22"/>
      <c r="E512" s="9"/>
      <c r="F512" s="9"/>
      <c r="G512" s="9"/>
      <c r="H512" s="20"/>
      <c r="I512" s="22"/>
    </row>
    <row r="513" customFormat="false" ht="15" hidden="false" customHeight="true" outlineLevel="0" collapsed="false">
      <c r="A513" s="22"/>
      <c r="B513" s="22"/>
      <c r="C513" s="22"/>
      <c r="D513" s="22"/>
      <c r="E513" s="9"/>
      <c r="F513" s="9"/>
      <c r="G513" s="9"/>
      <c r="H513" s="20"/>
      <c r="I513" s="22"/>
    </row>
    <row r="514" customFormat="false" ht="15" hidden="false" customHeight="true" outlineLevel="0" collapsed="false">
      <c r="A514" s="22"/>
      <c r="B514" s="22"/>
      <c r="C514" s="22"/>
      <c r="D514" s="22"/>
      <c r="E514" s="9"/>
      <c r="F514" s="9"/>
      <c r="G514" s="9"/>
      <c r="H514" s="20"/>
      <c r="I514" s="22"/>
    </row>
    <row r="515" customFormat="false" ht="15" hidden="false" customHeight="true" outlineLevel="0" collapsed="false">
      <c r="A515" s="22"/>
      <c r="B515" s="22"/>
      <c r="C515" s="22"/>
      <c r="D515" s="22"/>
      <c r="E515" s="9"/>
      <c r="F515" s="9"/>
      <c r="G515" s="9"/>
      <c r="H515" s="20"/>
      <c r="I515" s="22"/>
    </row>
    <row r="516" customFormat="false" ht="15" hidden="false" customHeight="true" outlineLevel="0" collapsed="false">
      <c r="A516" s="22"/>
      <c r="B516" s="22"/>
      <c r="C516" s="22"/>
      <c r="D516" s="22"/>
      <c r="E516" s="9"/>
      <c r="F516" s="9"/>
      <c r="G516" s="9"/>
      <c r="H516" s="20"/>
      <c r="I516" s="22"/>
    </row>
    <row r="517" customFormat="false" ht="15" hidden="false" customHeight="true" outlineLevel="0" collapsed="false">
      <c r="A517" s="22"/>
      <c r="B517" s="22"/>
      <c r="C517" s="22"/>
      <c r="D517" s="22"/>
      <c r="E517" s="9"/>
      <c r="F517" s="9"/>
      <c r="G517" s="9"/>
      <c r="H517" s="20"/>
      <c r="I517" s="22"/>
    </row>
    <row r="518" customFormat="false" ht="15" hidden="false" customHeight="true" outlineLevel="0" collapsed="false">
      <c r="A518" s="22"/>
      <c r="B518" s="22"/>
      <c r="C518" s="22"/>
      <c r="D518" s="22"/>
      <c r="E518" s="9"/>
      <c r="F518" s="9"/>
      <c r="G518" s="9"/>
      <c r="H518" s="20"/>
      <c r="I518" s="22"/>
    </row>
    <row r="519" customFormat="false" ht="15" hidden="false" customHeight="true" outlineLevel="0" collapsed="false">
      <c r="A519" s="22"/>
      <c r="B519" s="22"/>
      <c r="C519" s="22"/>
      <c r="D519" s="22"/>
      <c r="E519" s="9"/>
      <c r="F519" s="9"/>
      <c r="G519" s="9"/>
      <c r="H519" s="20"/>
      <c r="I519" s="22"/>
    </row>
    <row r="520" customFormat="false" ht="15" hidden="false" customHeight="true" outlineLevel="0" collapsed="false">
      <c r="A520" s="22"/>
      <c r="B520" s="22"/>
      <c r="C520" s="22"/>
      <c r="D520" s="22"/>
      <c r="E520" s="9"/>
      <c r="F520" s="9"/>
      <c r="G520" s="9"/>
      <c r="H520" s="20"/>
      <c r="I520" s="22"/>
    </row>
    <row r="521" customFormat="false" ht="15" hidden="false" customHeight="true" outlineLevel="0" collapsed="false">
      <c r="A521" s="22"/>
      <c r="B521" s="22"/>
      <c r="C521" s="22"/>
      <c r="D521" s="22"/>
      <c r="E521" s="9"/>
      <c r="F521" s="9"/>
      <c r="G521" s="9"/>
      <c r="H521" s="20"/>
      <c r="I521" s="22"/>
    </row>
    <row r="522" customFormat="false" ht="15" hidden="false" customHeight="true" outlineLevel="0" collapsed="false">
      <c r="A522" s="22"/>
      <c r="B522" s="22"/>
      <c r="C522" s="22"/>
      <c r="D522" s="22"/>
      <c r="E522" s="9"/>
      <c r="F522" s="9"/>
      <c r="G522" s="9"/>
      <c r="H522" s="20"/>
      <c r="I522" s="22"/>
    </row>
    <row r="523" customFormat="false" ht="15" hidden="false" customHeight="true" outlineLevel="0" collapsed="false">
      <c r="A523" s="22"/>
      <c r="B523" s="22"/>
      <c r="C523" s="22"/>
      <c r="D523" s="22"/>
      <c r="E523" s="9"/>
      <c r="F523" s="9"/>
      <c r="G523" s="9"/>
      <c r="H523" s="20"/>
      <c r="I523" s="22"/>
    </row>
    <row r="524" customFormat="false" ht="15" hidden="false" customHeight="true" outlineLevel="0" collapsed="false">
      <c r="A524" s="22"/>
      <c r="B524" s="22"/>
      <c r="C524" s="22"/>
      <c r="D524" s="22"/>
      <c r="E524" s="9"/>
      <c r="F524" s="9"/>
      <c r="G524" s="9"/>
      <c r="H524" s="20"/>
      <c r="I524" s="22"/>
    </row>
    <row r="525" customFormat="false" ht="15" hidden="false" customHeight="true" outlineLevel="0" collapsed="false">
      <c r="A525" s="22"/>
      <c r="B525" s="22"/>
      <c r="C525" s="22"/>
      <c r="D525" s="22"/>
      <c r="E525" s="9"/>
      <c r="F525" s="9"/>
      <c r="G525" s="9"/>
      <c r="H525" s="20"/>
      <c r="I525" s="22"/>
    </row>
    <row r="526" customFormat="false" ht="15" hidden="false" customHeight="true" outlineLevel="0" collapsed="false">
      <c r="A526" s="22"/>
      <c r="B526" s="22"/>
      <c r="C526" s="22"/>
      <c r="D526" s="22"/>
      <c r="E526" s="9"/>
      <c r="F526" s="9"/>
      <c r="G526" s="9"/>
      <c r="H526" s="20"/>
      <c r="I526" s="22"/>
    </row>
    <row r="527" customFormat="false" ht="15" hidden="false" customHeight="true" outlineLevel="0" collapsed="false">
      <c r="A527" s="22"/>
      <c r="B527" s="22"/>
      <c r="C527" s="22"/>
      <c r="D527" s="22"/>
      <c r="E527" s="9"/>
      <c r="F527" s="9"/>
      <c r="G527" s="9"/>
      <c r="H527" s="20"/>
      <c r="I527" s="22"/>
    </row>
    <row r="528" customFormat="false" ht="15" hidden="false" customHeight="true" outlineLevel="0" collapsed="false">
      <c r="A528" s="22"/>
      <c r="B528" s="22"/>
      <c r="C528" s="22"/>
      <c r="D528" s="22"/>
      <c r="E528" s="9"/>
      <c r="F528" s="9"/>
      <c r="G528" s="9"/>
      <c r="H528" s="20"/>
      <c r="I528" s="22"/>
    </row>
    <row r="529" customFormat="false" ht="15" hidden="false" customHeight="true" outlineLevel="0" collapsed="false">
      <c r="A529" s="22"/>
      <c r="B529" s="22"/>
      <c r="C529" s="22"/>
      <c r="D529" s="22"/>
      <c r="E529" s="9"/>
      <c r="F529" s="9"/>
      <c r="G529" s="9"/>
      <c r="H529" s="20"/>
      <c r="I529" s="22"/>
    </row>
    <row r="530" customFormat="false" ht="15" hidden="false" customHeight="true" outlineLevel="0" collapsed="false">
      <c r="A530" s="22"/>
      <c r="B530" s="22"/>
      <c r="C530" s="22"/>
      <c r="D530" s="22"/>
      <c r="E530" s="9"/>
      <c r="F530" s="9"/>
      <c r="G530" s="9"/>
      <c r="H530" s="20"/>
      <c r="I530" s="22"/>
    </row>
    <row r="531" customFormat="false" ht="15" hidden="false" customHeight="true" outlineLevel="0" collapsed="false">
      <c r="A531" s="22"/>
      <c r="B531" s="22"/>
      <c r="C531" s="22"/>
      <c r="D531" s="22"/>
      <c r="E531" s="9"/>
      <c r="F531" s="9"/>
      <c r="G531" s="9"/>
      <c r="H531" s="20"/>
      <c r="I531" s="22"/>
    </row>
    <row r="532" customFormat="false" ht="15" hidden="false" customHeight="true" outlineLevel="0" collapsed="false">
      <c r="A532" s="22"/>
      <c r="B532" s="22"/>
      <c r="C532" s="22"/>
      <c r="D532" s="22"/>
      <c r="E532" s="9"/>
      <c r="F532" s="9"/>
      <c r="G532" s="9"/>
      <c r="H532" s="20"/>
      <c r="I532" s="22"/>
    </row>
    <row r="533" customFormat="false" ht="15" hidden="false" customHeight="true" outlineLevel="0" collapsed="false">
      <c r="A533" s="22"/>
      <c r="B533" s="22"/>
      <c r="C533" s="22"/>
      <c r="D533" s="22"/>
      <c r="E533" s="9"/>
      <c r="F533" s="9"/>
      <c r="G533" s="9"/>
      <c r="H533" s="20"/>
      <c r="I533" s="22"/>
    </row>
    <row r="534" customFormat="false" ht="15" hidden="false" customHeight="true" outlineLevel="0" collapsed="false">
      <c r="A534" s="22"/>
      <c r="B534" s="22"/>
      <c r="C534" s="22"/>
      <c r="D534" s="22"/>
      <c r="E534" s="9"/>
      <c r="F534" s="9"/>
      <c r="G534" s="9"/>
      <c r="H534" s="20"/>
      <c r="I534" s="22"/>
    </row>
    <row r="535" customFormat="false" ht="15" hidden="false" customHeight="true" outlineLevel="0" collapsed="false">
      <c r="A535" s="22"/>
      <c r="B535" s="22"/>
      <c r="C535" s="22"/>
      <c r="D535" s="22"/>
      <c r="E535" s="9"/>
      <c r="F535" s="9"/>
      <c r="G535" s="9"/>
      <c r="H535" s="20"/>
      <c r="I535" s="22"/>
    </row>
    <row r="536" customFormat="false" ht="15" hidden="false" customHeight="true" outlineLevel="0" collapsed="false">
      <c r="A536" s="22"/>
      <c r="B536" s="22"/>
      <c r="C536" s="22"/>
      <c r="D536" s="22"/>
      <c r="E536" s="9"/>
      <c r="F536" s="9"/>
      <c r="G536" s="9"/>
      <c r="H536" s="20"/>
      <c r="I536" s="22"/>
    </row>
    <row r="537" customFormat="false" ht="15" hidden="false" customHeight="true" outlineLevel="0" collapsed="false">
      <c r="A537" s="22"/>
      <c r="B537" s="22"/>
      <c r="C537" s="22"/>
      <c r="D537" s="22"/>
      <c r="E537" s="9"/>
      <c r="F537" s="9"/>
      <c r="G537" s="9"/>
      <c r="H537" s="20"/>
      <c r="I537" s="22"/>
    </row>
    <row r="538" customFormat="false" ht="15" hidden="false" customHeight="true" outlineLevel="0" collapsed="false">
      <c r="A538" s="22"/>
      <c r="B538" s="22"/>
      <c r="C538" s="22"/>
      <c r="D538" s="22"/>
      <c r="E538" s="9"/>
      <c r="F538" s="9"/>
      <c r="G538" s="9"/>
      <c r="H538" s="20"/>
      <c r="I538" s="22"/>
    </row>
    <row r="539" customFormat="false" ht="15" hidden="false" customHeight="true" outlineLevel="0" collapsed="false">
      <c r="A539" s="22"/>
      <c r="B539" s="22"/>
      <c r="C539" s="22"/>
      <c r="D539" s="22"/>
      <c r="E539" s="9"/>
      <c r="F539" s="9"/>
      <c r="G539" s="9"/>
      <c r="H539" s="20"/>
      <c r="I539" s="22"/>
    </row>
    <row r="540" customFormat="false" ht="15" hidden="false" customHeight="true" outlineLevel="0" collapsed="false">
      <c r="A540" s="22"/>
      <c r="B540" s="22"/>
      <c r="C540" s="22"/>
      <c r="D540" s="22"/>
      <c r="E540" s="9"/>
      <c r="F540" s="9"/>
      <c r="G540" s="9"/>
      <c r="H540" s="20"/>
      <c r="I540" s="22"/>
    </row>
    <row r="541" customFormat="false" ht="15" hidden="false" customHeight="true" outlineLevel="0" collapsed="false">
      <c r="A541" s="22"/>
      <c r="B541" s="22"/>
      <c r="C541" s="22"/>
      <c r="D541" s="22"/>
      <c r="E541" s="9"/>
      <c r="F541" s="9"/>
      <c r="G541" s="9"/>
      <c r="H541" s="20"/>
      <c r="I541" s="22"/>
    </row>
    <row r="542" customFormat="false" ht="15" hidden="false" customHeight="true" outlineLevel="0" collapsed="false">
      <c r="A542" s="22"/>
      <c r="B542" s="22"/>
      <c r="C542" s="22"/>
      <c r="D542" s="22"/>
      <c r="E542" s="9"/>
      <c r="F542" s="9"/>
      <c r="G542" s="9"/>
      <c r="H542" s="20"/>
      <c r="I542" s="22"/>
    </row>
    <row r="543" customFormat="false" ht="15" hidden="false" customHeight="true" outlineLevel="0" collapsed="false">
      <c r="A543" s="22"/>
      <c r="B543" s="22"/>
      <c r="C543" s="22"/>
      <c r="D543" s="22"/>
      <c r="E543" s="9"/>
      <c r="F543" s="9"/>
      <c r="G543" s="9"/>
      <c r="H543" s="20"/>
      <c r="I543" s="22"/>
    </row>
    <row r="544" customFormat="false" ht="15" hidden="false" customHeight="true" outlineLevel="0" collapsed="false">
      <c r="A544" s="22"/>
      <c r="B544" s="22"/>
      <c r="C544" s="22"/>
      <c r="D544" s="22"/>
      <c r="E544" s="9"/>
      <c r="F544" s="9"/>
      <c r="G544" s="9"/>
      <c r="H544" s="20"/>
      <c r="I544" s="22"/>
    </row>
    <row r="545" customFormat="false" ht="15" hidden="false" customHeight="true" outlineLevel="0" collapsed="false">
      <c r="A545" s="22"/>
      <c r="B545" s="22"/>
      <c r="C545" s="22"/>
      <c r="D545" s="22"/>
      <c r="E545" s="9"/>
      <c r="F545" s="9"/>
      <c r="G545" s="9"/>
      <c r="H545" s="20"/>
      <c r="I545" s="22"/>
    </row>
    <row r="546" customFormat="false" ht="15" hidden="false" customHeight="true" outlineLevel="0" collapsed="false">
      <c r="A546" s="22"/>
      <c r="B546" s="22"/>
      <c r="C546" s="22"/>
      <c r="D546" s="22"/>
      <c r="E546" s="9"/>
      <c r="F546" s="9"/>
      <c r="G546" s="9"/>
      <c r="H546" s="20"/>
      <c r="I546" s="22"/>
    </row>
    <row r="547" customFormat="false" ht="15" hidden="false" customHeight="true" outlineLevel="0" collapsed="false">
      <c r="A547" s="22"/>
      <c r="B547" s="22"/>
      <c r="C547" s="22"/>
      <c r="D547" s="22"/>
      <c r="E547" s="9"/>
      <c r="F547" s="9"/>
      <c r="G547" s="9"/>
      <c r="H547" s="20"/>
      <c r="I547" s="22"/>
    </row>
    <row r="548" customFormat="false" ht="15" hidden="false" customHeight="true" outlineLevel="0" collapsed="false">
      <c r="A548" s="22"/>
      <c r="B548" s="22"/>
      <c r="C548" s="22"/>
      <c r="D548" s="22"/>
      <c r="E548" s="9"/>
      <c r="F548" s="9"/>
      <c r="G548" s="9"/>
      <c r="H548" s="20"/>
      <c r="I548" s="22"/>
    </row>
    <row r="549" customFormat="false" ht="15" hidden="false" customHeight="true" outlineLevel="0" collapsed="false">
      <c r="A549" s="22"/>
      <c r="B549" s="22"/>
      <c r="C549" s="22"/>
      <c r="D549" s="22"/>
      <c r="E549" s="9"/>
      <c r="F549" s="9"/>
      <c r="G549" s="9"/>
      <c r="H549" s="20"/>
      <c r="I549" s="22"/>
    </row>
    <row r="550" customFormat="false" ht="15" hidden="false" customHeight="true" outlineLevel="0" collapsed="false">
      <c r="A550" s="22"/>
      <c r="B550" s="22"/>
      <c r="C550" s="22"/>
      <c r="D550" s="22"/>
      <c r="E550" s="9"/>
      <c r="F550" s="9"/>
      <c r="G550" s="9"/>
      <c r="H550" s="20"/>
      <c r="I550" s="22"/>
    </row>
    <row r="551" customFormat="false" ht="15" hidden="false" customHeight="true" outlineLevel="0" collapsed="false">
      <c r="A551" s="22"/>
      <c r="B551" s="22"/>
      <c r="C551" s="22"/>
      <c r="D551" s="22"/>
      <c r="E551" s="9"/>
      <c r="F551" s="9"/>
      <c r="G551" s="9"/>
      <c r="H551" s="20"/>
      <c r="I551" s="22"/>
    </row>
    <row r="552" customFormat="false" ht="15" hidden="false" customHeight="true" outlineLevel="0" collapsed="false">
      <c r="A552" s="22"/>
      <c r="B552" s="22"/>
      <c r="C552" s="22"/>
      <c r="D552" s="22"/>
      <c r="E552" s="9"/>
      <c r="F552" s="9"/>
      <c r="G552" s="9"/>
      <c r="H552" s="20"/>
      <c r="I552" s="22"/>
    </row>
    <row r="553" customFormat="false" ht="15" hidden="false" customHeight="true" outlineLevel="0" collapsed="false">
      <c r="A553" s="22"/>
      <c r="B553" s="22"/>
      <c r="C553" s="22"/>
      <c r="D553" s="22"/>
      <c r="E553" s="9"/>
      <c r="F553" s="9"/>
      <c r="G553" s="9"/>
      <c r="H553" s="20"/>
      <c r="I553" s="22"/>
    </row>
    <row r="554" customFormat="false" ht="15" hidden="false" customHeight="true" outlineLevel="0" collapsed="false">
      <c r="A554" s="22"/>
      <c r="B554" s="22"/>
      <c r="C554" s="22"/>
      <c r="D554" s="22"/>
      <c r="E554" s="9"/>
      <c r="F554" s="9"/>
      <c r="G554" s="9"/>
      <c r="H554" s="20"/>
      <c r="I554" s="22"/>
    </row>
    <row r="555" customFormat="false" ht="15" hidden="false" customHeight="true" outlineLevel="0" collapsed="false">
      <c r="A555" s="22"/>
      <c r="B555" s="22"/>
      <c r="C555" s="22"/>
      <c r="D555" s="22"/>
      <c r="E555" s="9"/>
      <c r="F555" s="9"/>
      <c r="G555" s="9"/>
      <c r="H555" s="20"/>
      <c r="I555" s="22"/>
    </row>
    <row r="556" customFormat="false" ht="15" hidden="false" customHeight="true" outlineLevel="0" collapsed="false">
      <c r="A556" s="22"/>
      <c r="B556" s="22"/>
      <c r="C556" s="22"/>
      <c r="D556" s="22"/>
      <c r="E556" s="9"/>
      <c r="F556" s="9"/>
      <c r="G556" s="9"/>
      <c r="H556" s="20"/>
      <c r="I556" s="22"/>
    </row>
    <row r="557" customFormat="false" ht="15" hidden="false" customHeight="true" outlineLevel="0" collapsed="false">
      <c r="A557" s="22"/>
      <c r="B557" s="22"/>
      <c r="C557" s="22"/>
      <c r="D557" s="22"/>
      <c r="E557" s="9"/>
      <c r="F557" s="9"/>
      <c r="G557" s="9"/>
      <c r="H557" s="20"/>
      <c r="I557" s="22"/>
    </row>
    <row r="558" customFormat="false" ht="15" hidden="false" customHeight="true" outlineLevel="0" collapsed="false">
      <c r="A558" s="22"/>
      <c r="B558" s="22"/>
      <c r="C558" s="22"/>
      <c r="D558" s="22"/>
      <c r="E558" s="9"/>
      <c r="F558" s="9"/>
      <c r="G558" s="9"/>
      <c r="H558" s="20"/>
      <c r="I558" s="22"/>
    </row>
    <row r="559" customFormat="false" ht="15" hidden="false" customHeight="true" outlineLevel="0" collapsed="false">
      <c r="A559" s="22"/>
      <c r="B559" s="22"/>
      <c r="C559" s="22"/>
      <c r="D559" s="22"/>
      <c r="E559" s="9"/>
      <c r="F559" s="9"/>
      <c r="G559" s="9"/>
      <c r="H559" s="20"/>
      <c r="I559" s="22"/>
    </row>
    <row r="560" customFormat="false" ht="15" hidden="false" customHeight="true" outlineLevel="0" collapsed="false">
      <c r="A560" s="22"/>
      <c r="B560" s="22"/>
      <c r="C560" s="22"/>
      <c r="D560" s="22"/>
      <c r="E560" s="9"/>
      <c r="F560" s="9"/>
      <c r="G560" s="9"/>
      <c r="H560" s="20"/>
      <c r="I560" s="22"/>
    </row>
    <row r="561" customFormat="false" ht="15" hidden="false" customHeight="true" outlineLevel="0" collapsed="false">
      <c r="A561" s="22"/>
      <c r="B561" s="22"/>
      <c r="C561" s="22"/>
      <c r="D561" s="22"/>
      <c r="E561" s="9"/>
      <c r="F561" s="9"/>
      <c r="G561" s="9"/>
      <c r="H561" s="20"/>
      <c r="I561" s="22"/>
    </row>
    <row r="562" customFormat="false" ht="15" hidden="false" customHeight="true" outlineLevel="0" collapsed="false">
      <c r="A562" s="22"/>
      <c r="B562" s="22"/>
      <c r="C562" s="22"/>
      <c r="D562" s="22"/>
      <c r="E562" s="9"/>
      <c r="F562" s="9"/>
      <c r="G562" s="9"/>
      <c r="H562" s="20"/>
      <c r="I562" s="22"/>
    </row>
    <row r="563" customFormat="false" ht="15" hidden="false" customHeight="true" outlineLevel="0" collapsed="false">
      <c r="A563" s="22"/>
      <c r="B563" s="22"/>
      <c r="C563" s="22"/>
      <c r="D563" s="22"/>
      <c r="E563" s="9"/>
      <c r="F563" s="9"/>
      <c r="G563" s="9"/>
      <c r="H563" s="20"/>
      <c r="I563" s="22"/>
    </row>
    <row r="564" customFormat="false" ht="15" hidden="false" customHeight="true" outlineLevel="0" collapsed="false">
      <c r="A564" s="22"/>
      <c r="B564" s="22"/>
      <c r="C564" s="22"/>
      <c r="D564" s="22"/>
      <c r="E564" s="9"/>
      <c r="F564" s="9"/>
      <c r="G564" s="9"/>
      <c r="H564" s="20"/>
      <c r="I564" s="22"/>
    </row>
    <row r="565" customFormat="false" ht="15" hidden="false" customHeight="true" outlineLevel="0" collapsed="false">
      <c r="A565" s="22"/>
      <c r="B565" s="22"/>
      <c r="C565" s="22"/>
      <c r="D565" s="22"/>
      <c r="E565" s="9"/>
      <c r="F565" s="9"/>
      <c r="G565" s="9"/>
      <c r="H565" s="20"/>
      <c r="I565" s="22"/>
    </row>
    <row r="566" customFormat="false" ht="15" hidden="false" customHeight="true" outlineLevel="0" collapsed="false">
      <c r="A566" s="22"/>
      <c r="B566" s="22"/>
      <c r="C566" s="22"/>
      <c r="D566" s="22"/>
      <c r="E566" s="9"/>
      <c r="F566" s="9"/>
      <c r="G566" s="9"/>
      <c r="H566" s="20"/>
      <c r="I566" s="22"/>
    </row>
    <row r="567" customFormat="false" ht="15" hidden="false" customHeight="true" outlineLevel="0" collapsed="false">
      <c r="A567" s="22"/>
      <c r="B567" s="22"/>
      <c r="C567" s="22"/>
      <c r="D567" s="22"/>
      <c r="E567" s="9"/>
      <c r="F567" s="9"/>
      <c r="G567" s="9"/>
      <c r="H567" s="20"/>
      <c r="I567" s="22"/>
    </row>
    <row r="568" customFormat="false" ht="15" hidden="false" customHeight="true" outlineLevel="0" collapsed="false">
      <c r="A568" s="22"/>
      <c r="B568" s="22"/>
      <c r="C568" s="22"/>
      <c r="D568" s="22"/>
      <c r="E568" s="9"/>
      <c r="F568" s="9"/>
      <c r="G568" s="9"/>
      <c r="H568" s="20"/>
      <c r="I568" s="22"/>
    </row>
    <row r="569" customFormat="false" ht="15" hidden="false" customHeight="true" outlineLevel="0" collapsed="false">
      <c r="A569" s="22"/>
      <c r="B569" s="22"/>
      <c r="C569" s="22"/>
      <c r="D569" s="22"/>
      <c r="E569" s="9"/>
      <c r="F569" s="9"/>
      <c r="G569" s="9"/>
      <c r="H569" s="20"/>
      <c r="I569" s="22"/>
    </row>
    <row r="570" customFormat="false" ht="15" hidden="false" customHeight="true" outlineLevel="0" collapsed="false">
      <c r="A570" s="22"/>
      <c r="B570" s="22"/>
      <c r="C570" s="22"/>
      <c r="D570" s="22"/>
      <c r="E570" s="9"/>
      <c r="F570" s="9"/>
      <c r="G570" s="9"/>
      <c r="H570" s="20"/>
      <c r="I570" s="22"/>
    </row>
    <row r="571" customFormat="false" ht="15" hidden="false" customHeight="true" outlineLevel="0" collapsed="false">
      <c r="A571" s="22"/>
      <c r="B571" s="22"/>
      <c r="C571" s="22"/>
      <c r="D571" s="22"/>
      <c r="E571" s="9"/>
      <c r="F571" s="9"/>
      <c r="G571" s="9"/>
      <c r="H571" s="20"/>
      <c r="I571" s="22"/>
    </row>
    <row r="572" customFormat="false" ht="15" hidden="false" customHeight="true" outlineLevel="0" collapsed="false">
      <c r="A572" s="22"/>
      <c r="B572" s="22"/>
      <c r="C572" s="22"/>
      <c r="D572" s="22"/>
      <c r="E572" s="9"/>
      <c r="F572" s="9"/>
      <c r="G572" s="9"/>
      <c r="H572" s="20"/>
      <c r="I572" s="22"/>
    </row>
    <row r="573" customFormat="false" ht="15" hidden="false" customHeight="true" outlineLevel="0" collapsed="false">
      <c r="A573" s="22"/>
      <c r="B573" s="22"/>
      <c r="C573" s="22"/>
      <c r="D573" s="22"/>
      <c r="E573" s="9"/>
      <c r="F573" s="9"/>
      <c r="G573" s="9"/>
      <c r="H573" s="20"/>
      <c r="I573" s="22"/>
    </row>
    <row r="574" customFormat="false" ht="15" hidden="false" customHeight="true" outlineLevel="0" collapsed="false">
      <c r="A574" s="22"/>
      <c r="B574" s="22"/>
      <c r="C574" s="22"/>
      <c r="D574" s="22"/>
      <c r="E574" s="9"/>
      <c r="F574" s="9"/>
      <c r="G574" s="9"/>
      <c r="H574" s="20"/>
      <c r="I574" s="22"/>
    </row>
    <row r="575" customFormat="false" ht="15" hidden="false" customHeight="true" outlineLevel="0" collapsed="false">
      <c r="A575" s="22"/>
      <c r="B575" s="22"/>
      <c r="C575" s="22"/>
      <c r="D575" s="22"/>
      <c r="E575" s="9"/>
      <c r="F575" s="9"/>
      <c r="G575" s="9"/>
      <c r="H575" s="20"/>
      <c r="I575" s="22"/>
    </row>
    <row r="576" customFormat="false" ht="15" hidden="false" customHeight="true" outlineLevel="0" collapsed="false">
      <c r="A576" s="22"/>
      <c r="B576" s="22"/>
      <c r="C576" s="22"/>
      <c r="D576" s="22"/>
      <c r="E576" s="9"/>
      <c r="F576" s="9"/>
      <c r="G576" s="9"/>
      <c r="H576" s="20"/>
      <c r="I576" s="22"/>
    </row>
    <row r="577" customFormat="false" ht="15" hidden="false" customHeight="true" outlineLevel="0" collapsed="false">
      <c r="A577" s="22"/>
      <c r="B577" s="22"/>
      <c r="C577" s="22"/>
      <c r="D577" s="22"/>
      <c r="E577" s="9"/>
      <c r="F577" s="9"/>
      <c r="G577" s="9"/>
      <c r="H577" s="20"/>
      <c r="I577" s="22"/>
    </row>
    <row r="578" customFormat="false" ht="15" hidden="false" customHeight="true" outlineLevel="0" collapsed="false">
      <c r="A578" s="22"/>
      <c r="B578" s="22"/>
      <c r="C578" s="22"/>
      <c r="D578" s="22"/>
      <c r="E578" s="9"/>
      <c r="F578" s="9"/>
      <c r="G578" s="9"/>
      <c r="H578" s="20"/>
      <c r="I578" s="22"/>
    </row>
    <row r="579" customFormat="false" ht="15" hidden="false" customHeight="true" outlineLevel="0" collapsed="false">
      <c r="A579" s="22"/>
      <c r="B579" s="22"/>
      <c r="C579" s="22"/>
      <c r="D579" s="22"/>
      <c r="E579" s="9"/>
      <c r="F579" s="9"/>
      <c r="G579" s="9"/>
      <c r="H579" s="20"/>
      <c r="I579" s="22"/>
    </row>
    <row r="580" customFormat="false" ht="15" hidden="false" customHeight="true" outlineLevel="0" collapsed="false">
      <c r="A580" s="22"/>
      <c r="B580" s="22"/>
      <c r="C580" s="22"/>
      <c r="D580" s="22"/>
      <c r="E580" s="9"/>
      <c r="F580" s="9"/>
      <c r="G580" s="9"/>
      <c r="H580" s="20"/>
      <c r="I580" s="22"/>
    </row>
    <row r="581" customFormat="false" ht="15" hidden="false" customHeight="true" outlineLevel="0" collapsed="false">
      <c r="A581" s="22"/>
      <c r="B581" s="22"/>
      <c r="C581" s="22"/>
      <c r="D581" s="22"/>
      <c r="E581" s="9"/>
      <c r="F581" s="9"/>
      <c r="G581" s="9"/>
      <c r="H581" s="20"/>
      <c r="I581" s="22"/>
    </row>
    <row r="582" customFormat="false" ht="15" hidden="false" customHeight="true" outlineLevel="0" collapsed="false">
      <c r="A582" s="22"/>
      <c r="B582" s="22"/>
      <c r="C582" s="22"/>
      <c r="D582" s="22"/>
      <c r="E582" s="9"/>
      <c r="F582" s="9"/>
      <c r="G582" s="9"/>
      <c r="H582" s="20"/>
      <c r="I582" s="22"/>
    </row>
    <row r="583" customFormat="false" ht="15" hidden="false" customHeight="true" outlineLevel="0" collapsed="false">
      <c r="A583" s="22"/>
      <c r="B583" s="22"/>
      <c r="C583" s="22"/>
      <c r="D583" s="22"/>
      <c r="E583" s="9"/>
      <c r="F583" s="9"/>
      <c r="G583" s="9"/>
      <c r="H583" s="20"/>
      <c r="I583" s="22"/>
    </row>
    <row r="584" customFormat="false" ht="15" hidden="false" customHeight="true" outlineLevel="0" collapsed="false">
      <c r="A584" s="22"/>
      <c r="B584" s="22"/>
      <c r="C584" s="22"/>
      <c r="D584" s="22"/>
      <c r="E584" s="9"/>
      <c r="F584" s="9"/>
      <c r="G584" s="9"/>
      <c r="H584" s="20"/>
      <c r="I584" s="22"/>
    </row>
    <row r="585" customFormat="false" ht="15" hidden="false" customHeight="true" outlineLevel="0" collapsed="false">
      <c r="A585" s="22"/>
      <c r="B585" s="22"/>
      <c r="C585" s="22"/>
      <c r="D585" s="22"/>
      <c r="E585" s="9"/>
      <c r="F585" s="9"/>
      <c r="G585" s="9"/>
      <c r="H585" s="20"/>
      <c r="I585" s="22"/>
    </row>
    <row r="586" customFormat="false" ht="15" hidden="false" customHeight="true" outlineLevel="0" collapsed="false">
      <c r="A586" s="22"/>
      <c r="B586" s="22"/>
      <c r="C586" s="22"/>
      <c r="D586" s="22"/>
      <c r="E586" s="9"/>
      <c r="F586" s="9"/>
      <c r="G586" s="9"/>
      <c r="H586" s="20"/>
      <c r="I586" s="22"/>
    </row>
    <row r="587" customFormat="false" ht="15" hidden="false" customHeight="true" outlineLevel="0" collapsed="false">
      <c r="A587" s="22"/>
      <c r="B587" s="22"/>
      <c r="C587" s="22"/>
      <c r="D587" s="22"/>
      <c r="E587" s="9"/>
      <c r="F587" s="9"/>
      <c r="G587" s="9"/>
      <c r="H587" s="20"/>
      <c r="I587" s="22"/>
    </row>
    <row r="588" customFormat="false" ht="15" hidden="false" customHeight="true" outlineLevel="0" collapsed="false">
      <c r="A588" s="22"/>
      <c r="B588" s="22"/>
      <c r="C588" s="22"/>
      <c r="D588" s="22"/>
      <c r="E588" s="9"/>
      <c r="F588" s="9"/>
      <c r="G588" s="9"/>
      <c r="H588" s="20"/>
      <c r="I588" s="22"/>
    </row>
    <row r="589" customFormat="false" ht="15" hidden="false" customHeight="true" outlineLevel="0" collapsed="false">
      <c r="A589" s="22"/>
      <c r="B589" s="22"/>
      <c r="C589" s="22"/>
      <c r="D589" s="22"/>
      <c r="E589" s="9"/>
      <c r="F589" s="9"/>
      <c r="G589" s="9"/>
      <c r="H589" s="20"/>
      <c r="I589" s="22"/>
    </row>
    <row r="590" customFormat="false" ht="15" hidden="false" customHeight="true" outlineLevel="0" collapsed="false">
      <c r="A590" s="22"/>
      <c r="B590" s="22"/>
      <c r="C590" s="22"/>
      <c r="D590" s="22"/>
      <c r="E590" s="9"/>
      <c r="F590" s="9"/>
      <c r="G590" s="9"/>
      <c r="H590" s="20"/>
      <c r="I590" s="22"/>
    </row>
    <row r="591" customFormat="false" ht="15" hidden="false" customHeight="true" outlineLevel="0" collapsed="false">
      <c r="A591" s="22"/>
      <c r="B591" s="22"/>
      <c r="C591" s="22"/>
      <c r="D591" s="22"/>
      <c r="E591" s="9"/>
      <c r="F591" s="9"/>
      <c r="G591" s="9"/>
      <c r="H591" s="20"/>
      <c r="I591" s="22"/>
    </row>
    <row r="592" customFormat="false" ht="15" hidden="false" customHeight="true" outlineLevel="0" collapsed="false">
      <c r="A592" s="22"/>
      <c r="B592" s="22"/>
      <c r="C592" s="22"/>
      <c r="D592" s="22"/>
      <c r="E592" s="9"/>
      <c r="F592" s="9"/>
      <c r="G592" s="9"/>
      <c r="H592" s="20"/>
      <c r="I592" s="22"/>
    </row>
    <row r="593" customFormat="false" ht="15" hidden="false" customHeight="true" outlineLevel="0" collapsed="false">
      <c r="A593" s="22"/>
      <c r="B593" s="22"/>
      <c r="C593" s="22"/>
      <c r="D593" s="22"/>
      <c r="E593" s="9"/>
      <c r="F593" s="9"/>
      <c r="G593" s="9"/>
      <c r="H593" s="20"/>
      <c r="I593" s="22"/>
    </row>
    <row r="594" customFormat="false" ht="15" hidden="false" customHeight="true" outlineLevel="0" collapsed="false">
      <c r="A594" s="22"/>
      <c r="B594" s="22"/>
      <c r="C594" s="22"/>
      <c r="D594" s="22"/>
      <c r="E594" s="9"/>
      <c r="F594" s="9"/>
      <c r="G594" s="9"/>
      <c r="H594" s="20"/>
      <c r="I594" s="22"/>
    </row>
    <row r="595" customFormat="false" ht="15" hidden="false" customHeight="true" outlineLevel="0" collapsed="false">
      <c r="A595" s="22"/>
      <c r="B595" s="22"/>
      <c r="C595" s="22"/>
      <c r="D595" s="22"/>
      <c r="E595" s="9"/>
      <c r="F595" s="9"/>
      <c r="G595" s="9"/>
      <c r="H595" s="20"/>
      <c r="I595" s="22"/>
    </row>
    <row r="596" customFormat="false" ht="15" hidden="false" customHeight="true" outlineLevel="0" collapsed="false">
      <c r="A596" s="22"/>
      <c r="B596" s="22"/>
      <c r="C596" s="22"/>
      <c r="D596" s="22"/>
      <c r="E596" s="9"/>
      <c r="F596" s="9"/>
      <c r="G596" s="9"/>
      <c r="H596" s="20"/>
      <c r="I596" s="22"/>
    </row>
    <row r="597" customFormat="false" ht="15" hidden="false" customHeight="true" outlineLevel="0" collapsed="false">
      <c r="A597" s="22"/>
      <c r="B597" s="22"/>
      <c r="C597" s="22"/>
      <c r="D597" s="22"/>
      <c r="E597" s="9"/>
      <c r="F597" s="9"/>
      <c r="G597" s="9"/>
      <c r="H597" s="20"/>
      <c r="I597" s="22"/>
    </row>
    <row r="598" customFormat="false" ht="15" hidden="false" customHeight="true" outlineLevel="0" collapsed="false">
      <c r="A598" s="22"/>
      <c r="B598" s="22"/>
      <c r="C598" s="22"/>
      <c r="D598" s="22"/>
      <c r="E598" s="9"/>
      <c r="F598" s="9"/>
      <c r="G598" s="9"/>
      <c r="H598" s="20"/>
      <c r="I598" s="22"/>
    </row>
    <row r="599" customFormat="false" ht="15" hidden="false" customHeight="true" outlineLevel="0" collapsed="false">
      <c r="A599" s="22"/>
      <c r="B599" s="22"/>
      <c r="C599" s="22"/>
      <c r="D599" s="22"/>
      <c r="E599" s="9"/>
      <c r="F599" s="9"/>
      <c r="G599" s="9"/>
      <c r="H599" s="20"/>
      <c r="I599" s="22"/>
    </row>
    <row r="600" customFormat="false" ht="15" hidden="false" customHeight="true" outlineLevel="0" collapsed="false">
      <c r="A600" s="22"/>
      <c r="B600" s="22"/>
      <c r="C600" s="22"/>
      <c r="D600" s="22"/>
      <c r="E600" s="9"/>
      <c r="F600" s="9"/>
      <c r="G600" s="9"/>
      <c r="H600" s="20"/>
      <c r="I600" s="22"/>
    </row>
    <row r="601" customFormat="false" ht="15" hidden="false" customHeight="true" outlineLevel="0" collapsed="false">
      <c r="A601" s="22"/>
      <c r="B601" s="22"/>
      <c r="C601" s="22"/>
      <c r="D601" s="22"/>
      <c r="E601" s="9"/>
      <c r="F601" s="9"/>
      <c r="G601" s="9"/>
      <c r="H601" s="20"/>
      <c r="I601" s="22"/>
    </row>
    <row r="602" customFormat="false" ht="15" hidden="false" customHeight="true" outlineLevel="0" collapsed="false">
      <c r="A602" s="22"/>
      <c r="B602" s="22"/>
      <c r="C602" s="22"/>
      <c r="D602" s="22"/>
      <c r="E602" s="9"/>
      <c r="F602" s="9"/>
      <c r="G602" s="9"/>
      <c r="H602" s="20"/>
      <c r="I602" s="22"/>
    </row>
    <row r="603" customFormat="false" ht="15" hidden="false" customHeight="true" outlineLevel="0" collapsed="false">
      <c r="A603" s="22"/>
      <c r="B603" s="22"/>
      <c r="C603" s="22"/>
      <c r="D603" s="22"/>
      <c r="E603" s="9"/>
      <c r="F603" s="9"/>
      <c r="G603" s="9"/>
      <c r="H603" s="20"/>
      <c r="I603" s="22"/>
    </row>
    <row r="604" customFormat="false" ht="15" hidden="false" customHeight="true" outlineLevel="0" collapsed="false">
      <c r="A604" s="22"/>
      <c r="B604" s="22"/>
      <c r="C604" s="22"/>
      <c r="D604" s="22"/>
      <c r="E604" s="9"/>
      <c r="F604" s="9"/>
      <c r="G604" s="9"/>
      <c r="H604" s="20"/>
      <c r="I604" s="22"/>
    </row>
    <row r="605" customFormat="false" ht="15" hidden="false" customHeight="true" outlineLevel="0" collapsed="false">
      <c r="A605" s="22"/>
      <c r="B605" s="22"/>
      <c r="C605" s="22"/>
      <c r="D605" s="22"/>
      <c r="E605" s="9"/>
      <c r="F605" s="9"/>
      <c r="G605" s="9"/>
      <c r="H605" s="20"/>
      <c r="I605" s="22"/>
    </row>
    <row r="606" customFormat="false" ht="15" hidden="false" customHeight="true" outlineLevel="0" collapsed="false">
      <c r="A606" s="22"/>
      <c r="B606" s="22"/>
      <c r="C606" s="22"/>
      <c r="D606" s="22"/>
      <c r="E606" s="9"/>
      <c r="F606" s="9"/>
      <c r="G606" s="9"/>
      <c r="H606" s="20"/>
      <c r="I606" s="22"/>
    </row>
    <row r="607" customFormat="false" ht="15" hidden="false" customHeight="true" outlineLevel="0" collapsed="false">
      <c r="A607" s="22"/>
      <c r="B607" s="22"/>
      <c r="C607" s="22"/>
      <c r="D607" s="22"/>
      <c r="E607" s="9"/>
      <c r="F607" s="9"/>
      <c r="G607" s="9"/>
      <c r="H607" s="20"/>
      <c r="I607" s="22"/>
    </row>
    <row r="608" customFormat="false" ht="15" hidden="false" customHeight="true" outlineLevel="0" collapsed="false">
      <c r="A608" s="22"/>
      <c r="B608" s="22"/>
      <c r="C608" s="22"/>
      <c r="D608" s="22"/>
      <c r="E608" s="9"/>
      <c r="F608" s="9"/>
      <c r="G608" s="9"/>
      <c r="H608" s="20"/>
      <c r="I608" s="22"/>
    </row>
    <row r="609" customFormat="false" ht="15" hidden="false" customHeight="true" outlineLevel="0" collapsed="false">
      <c r="A609" s="22"/>
      <c r="B609" s="22"/>
      <c r="C609" s="22"/>
      <c r="D609" s="22"/>
      <c r="E609" s="9"/>
      <c r="F609" s="9"/>
      <c r="G609" s="9"/>
      <c r="H609" s="20"/>
      <c r="I609" s="22"/>
    </row>
    <row r="610" customFormat="false" ht="15" hidden="false" customHeight="true" outlineLevel="0" collapsed="false">
      <c r="A610" s="22"/>
      <c r="B610" s="22"/>
      <c r="C610" s="22"/>
      <c r="D610" s="22"/>
      <c r="E610" s="9"/>
      <c r="F610" s="9"/>
      <c r="G610" s="9"/>
      <c r="H610" s="20"/>
      <c r="I610" s="22"/>
    </row>
    <row r="611" customFormat="false" ht="15" hidden="false" customHeight="true" outlineLevel="0" collapsed="false">
      <c r="A611" s="22"/>
      <c r="B611" s="22"/>
      <c r="C611" s="22"/>
      <c r="D611" s="22"/>
      <c r="E611" s="9"/>
      <c r="F611" s="9"/>
      <c r="G611" s="9"/>
      <c r="H611" s="20"/>
      <c r="I611" s="22"/>
    </row>
    <row r="612" customFormat="false" ht="15" hidden="false" customHeight="true" outlineLevel="0" collapsed="false">
      <c r="A612" s="22"/>
      <c r="B612" s="22"/>
      <c r="C612" s="22"/>
      <c r="D612" s="22"/>
      <c r="E612" s="9"/>
      <c r="F612" s="9"/>
      <c r="G612" s="9"/>
      <c r="H612" s="20"/>
      <c r="I612" s="22"/>
    </row>
    <row r="613" customFormat="false" ht="15" hidden="false" customHeight="true" outlineLevel="0" collapsed="false">
      <c r="A613" s="22"/>
      <c r="B613" s="22"/>
      <c r="C613" s="22"/>
      <c r="D613" s="22"/>
      <c r="E613" s="9"/>
      <c r="F613" s="9"/>
      <c r="G613" s="9"/>
      <c r="H613" s="20"/>
      <c r="I613" s="22"/>
    </row>
    <row r="614" customFormat="false" ht="15" hidden="false" customHeight="true" outlineLevel="0" collapsed="false">
      <c r="A614" s="22"/>
      <c r="B614" s="22"/>
      <c r="C614" s="22"/>
      <c r="D614" s="22"/>
      <c r="E614" s="9"/>
      <c r="F614" s="9"/>
      <c r="G614" s="9"/>
      <c r="H614" s="20"/>
      <c r="I614" s="22"/>
    </row>
    <row r="615" customFormat="false" ht="15" hidden="false" customHeight="true" outlineLevel="0" collapsed="false">
      <c r="A615" s="22"/>
      <c r="B615" s="22"/>
      <c r="C615" s="22"/>
      <c r="D615" s="22"/>
      <c r="E615" s="9"/>
      <c r="F615" s="9"/>
      <c r="G615" s="9"/>
      <c r="H615" s="20"/>
      <c r="I615" s="22"/>
    </row>
    <row r="616" customFormat="false" ht="15" hidden="false" customHeight="true" outlineLevel="0" collapsed="false">
      <c r="A616" s="22"/>
      <c r="B616" s="22"/>
      <c r="C616" s="22"/>
      <c r="D616" s="22"/>
      <c r="E616" s="9"/>
      <c r="F616" s="9"/>
      <c r="G616" s="9"/>
      <c r="H616" s="20"/>
      <c r="I616" s="22"/>
    </row>
    <row r="617" customFormat="false" ht="15" hidden="false" customHeight="true" outlineLevel="0" collapsed="false">
      <c r="A617" s="22"/>
      <c r="B617" s="22"/>
      <c r="C617" s="22"/>
      <c r="D617" s="22"/>
      <c r="E617" s="9"/>
      <c r="F617" s="9"/>
      <c r="G617" s="9"/>
      <c r="H617" s="20"/>
      <c r="I617" s="22"/>
    </row>
    <row r="618" customFormat="false" ht="15" hidden="false" customHeight="true" outlineLevel="0" collapsed="false">
      <c r="A618" s="22"/>
      <c r="B618" s="22"/>
      <c r="C618" s="22"/>
      <c r="D618" s="22"/>
      <c r="E618" s="9"/>
      <c r="F618" s="9"/>
      <c r="G618" s="9"/>
      <c r="H618" s="20"/>
      <c r="I618" s="22"/>
    </row>
    <row r="619" customFormat="false" ht="15" hidden="false" customHeight="true" outlineLevel="0" collapsed="false">
      <c r="A619" s="22"/>
      <c r="B619" s="22"/>
      <c r="C619" s="22"/>
      <c r="D619" s="22"/>
      <c r="E619" s="9"/>
      <c r="F619" s="9"/>
      <c r="G619" s="9"/>
      <c r="H619" s="20"/>
      <c r="I619" s="22"/>
    </row>
    <row r="620" customFormat="false" ht="15" hidden="false" customHeight="true" outlineLevel="0" collapsed="false">
      <c r="A620" s="22"/>
      <c r="B620" s="22"/>
      <c r="C620" s="22"/>
      <c r="D620" s="22"/>
      <c r="E620" s="9"/>
      <c r="F620" s="9"/>
      <c r="G620" s="9"/>
      <c r="H620" s="20"/>
      <c r="I620" s="22"/>
    </row>
    <row r="621" customFormat="false" ht="15" hidden="false" customHeight="true" outlineLevel="0" collapsed="false">
      <c r="A621" s="22"/>
      <c r="B621" s="22"/>
      <c r="C621" s="22"/>
      <c r="D621" s="22"/>
      <c r="E621" s="9"/>
      <c r="F621" s="9"/>
      <c r="G621" s="9"/>
      <c r="H621" s="20"/>
      <c r="I621" s="22"/>
    </row>
    <row r="622" customFormat="false" ht="15" hidden="false" customHeight="true" outlineLevel="0" collapsed="false">
      <c r="A622" s="22"/>
      <c r="B622" s="22"/>
      <c r="C622" s="22"/>
      <c r="D622" s="22"/>
      <c r="E622" s="9"/>
      <c r="F622" s="9"/>
      <c r="G622" s="9"/>
      <c r="H622" s="20"/>
      <c r="I622" s="22"/>
    </row>
    <row r="623" customFormat="false" ht="15" hidden="false" customHeight="true" outlineLevel="0" collapsed="false">
      <c r="A623" s="22"/>
      <c r="B623" s="22"/>
      <c r="C623" s="22"/>
      <c r="D623" s="22"/>
      <c r="E623" s="9"/>
      <c r="F623" s="9"/>
      <c r="G623" s="9"/>
      <c r="H623" s="20"/>
      <c r="I623" s="22"/>
    </row>
    <row r="624" customFormat="false" ht="15" hidden="false" customHeight="true" outlineLevel="0" collapsed="false">
      <c r="A624" s="22"/>
      <c r="B624" s="22"/>
      <c r="C624" s="22"/>
      <c r="D624" s="22"/>
      <c r="E624" s="9"/>
      <c r="F624" s="9"/>
      <c r="G624" s="9"/>
      <c r="H624" s="20"/>
      <c r="I624" s="22"/>
    </row>
    <row r="625" customFormat="false" ht="15" hidden="false" customHeight="true" outlineLevel="0" collapsed="false">
      <c r="A625" s="22"/>
      <c r="B625" s="22"/>
      <c r="C625" s="22"/>
      <c r="D625" s="22"/>
      <c r="E625" s="9"/>
      <c r="F625" s="9"/>
      <c r="G625" s="9"/>
      <c r="H625" s="20"/>
      <c r="I625" s="22"/>
    </row>
    <row r="626" customFormat="false" ht="15" hidden="false" customHeight="true" outlineLevel="0" collapsed="false">
      <c r="A626" s="22"/>
      <c r="B626" s="22"/>
      <c r="C626" s="22"/>
      <c r="D626" s="22"/>
      <c r="E626" s="9"/>
      <c r="F626" s="9"/>
      <c r="G626" s="9"/>
      <c r="H626" s="20"/>
      <c r="I626" s="22"/>
    </row>
    <row r="627" customFormat="false" ht="15" hidden="false" customHeight="true" outlineLevel="0" collapsed="false">
      <c r="A627" s="22"/>
      <c r="B627" s="22"/>
      <c r="C627" s="22"/>
      <c r="D627" s="22"/>
      <c r="E627" s="9"/>
      <c r="F627" s="9"/>
      <c r="G627" s="9"/>
      <c r="H627" s="20"/>
      <c r="I627" s="22"/>
    </row>
    <row r="628" customFormat="false" ht="15" hidden="false" customHeight="true" outlineLevel="0" collapsed="false">
      <c r="A628" s="22"/>
      <c r="B628" s="22"/>
      <c r="C628" s="22"/>
      <c r="D628" s="22"/>
      <c r="E628" s="9"/>
      <c r="F628" s="9"/>
      <c r="G628" s="9"/>
      <c r="H628" s="20"/>
      <c r="I628" s="22"/>
    </row>
    <row r="629" customFormat="false" ht="15" hidden="false" customHeight="true" outlineLevel="0" collapsed="false">
      <c r="A629" s="22"/>
      <c r="B629" s="22"/>
      <c r="C629" s="22"/>
      <c r="D629" s="22"/>
      <c r="E629" s="9"/>
      <c r="F629" s="9"/>
      <c r="G629" s="9"/>
      <c r="H629" s="20"/>
      <c r="I629" s="22"/>
    </row>
    <row r="630" customFormat="false" ht="15" hidden="false" customHeight="true" outlineLevel="0" collapsed="false">
      <c r="A630" s="22"/>
      <c r="B630" s="22"/>
      <c r="C630" s="22"/>
      <c r="D630" s="22"/>
      <c r="E630" s="9"/>
      <c r="F630" s="9"/>
      <c r="G630" s="9"/>
      <c r="H630" s="20"/>
      <c r="I630" s="22"/>
    </row>
    <row r="631" customFormat="false" ht="15" hidden="false" customHeight="true" outlineLevel="0" collapsed="false">
      <c r="A631" s="22"/>
      <c r="B631" s="22"/>
      <c r="C631" s="22"/>
      <c r="D631" s="22"/>
      <c r="E631" s="9"/>
      <c r="F631" s="9"/>
      <c r="G631" s="9"/>
      <c r="H631" s="20"/>
      <c r="I631" s="22"/>
    </row>
    <row r="632" customFormat="false" ht="15" hidden="false" customHeight="true" outlineLevel="0" collapsed="false">
      <c r="A632" s="22"/>
      <c r="B632" s="22"/>
      <c r="C632" s="22"/>
      <c r="D632" s="22"/>
      <c r="E632" s="9"/>
      <c r="F632" s="9"/>
      <c r="G632" s="9"/>
      <c r="H632" s="20"/>
      <c r="I632" s="22"/>
    </row>
    <row r="633" customFormat="false" ht="15" hidden="false" customHeight="true" outlineLevel="0" collapsed="false">
      <c r="A633" s="22"/>
      <c r="B633" s="22"/>
      <c r="C633" s="22"/>
      <c r="D633" s="22"/>
      <c r="E633" s="9"/>
      <c r="F633" s="9"/>
      <c r="G633" s="9"/>
      <c r="H633" s="20"/>
      <c r="I633" s="22"/>
    </row>
    <row r="634" customFormat="false" ht="15" hidden="false" customHeight="true" outlineLevel="0" collapsed="false">
      <c r="A634" s="22"/>
      <c r="B634" s="22"/>
      <c r="C634" s="22"/>
      <c r="D634" s="22"/>
      <c r="E634" s="9"/>
      <c r="F634" s="9"/>
      <c r="G634" s="9"/>
      <c r="H634" s="20"/>
      <c r="I634" s="22"/>
    </row>
    <row r="635" customFormat="false" ht="15" hidden="false" customHeight="true" outlineLevel="0" collapsed="false">
      <c r="A635" s="22"/>
      <c r="B635" s="22"/>
      <c r="C635" s="22"/>
      <c r="D635" s="22"/>
      <c r="E635" s="9"/>
      <c r="F635" s="9"/>
      <c r="G635" s="9"/>
      <c r="H635" s="20"/>
      <c r="I635" s="22"/>
    </row>
    <row r="636" customFormat="false" ht="15" hidden="false" customHeight="true" outlineLevel="0" collapsed="false">
      <c r="A636" s="22"/>
      <c r="B636" s="22"/>
      <c r="C636" s="22"/>
      <c r="D636" s="22"/>
      <c r="E636" s="9"/>
      <c r="F636" s="9"/>
      <c r="G636" s="9"/>
      <c r="H636" s="20"/>
      <c r="I636" s="22"/>
    </row>
    <row r="637" customFormat="false" ht="15" hidden="false" customHeight="true" outlineLevel="0" collapsed="false">
      <c r="A637" s="22"/>
      <c r="B637" s="22"/>
      <c r="C637" s="22"/>
      <c r="D637" s="22"/>
      <c r="E637" s="9"/>
      <c r="F637" s="9"/>
      <c r="G637" s="9"/>
      <c r="H637" s="20"/>
      <c r="I637" s="22"/>
    </row>
    <row r="638" customFormat="false" ht="15" hidden="false" customHeight="true" outlineLevel="0" collapsed="false">
      <c r="A638" s="22"/>
      <c r="B638" s="22"/>
      <c r="C638" s="22"/>
      <c r="D638" s="22"/>
      <c r="E638" s="9"/>
      <c r="F638" s="9"/>
      <c r="G638" s="9"/>
      <c r="H638" s="20"/>
      <c r="I638" s="22"/>
    </row>
    <row r="639" customFormat="false" ht="15" hidden="false" customHeight="true" outlineLevel="0" collapsed="false">
      <c r="A639" s="22"/>
      <c r="B639" s="22"/>
      <c r="C639" s="22"/>
      <c r="D639" s="22"/>
      <c r="E639" s="9"/>
      <c r="F639" s="9"/>
      <c r="G639" s="9"/>
      <c r="H639" s="20"/>
      <c r="I639" s="22"/>
    </row>
    <row r="640" customFormat="false" ht="15" hidden="false" customHeight="true" outlineLevel="0" collapsed="false">
      <c r="A640" s="22"/>
      <c r="B640" s="22"/>
      <c r="C640" s="22"/>
      <c r="D640" s="22"/>
      <c r="E640" s="9"/>
      <c r="F640" s="9"/>
      <c r="G640" s="9"/>
      <c r="H640" s="20"/>
      <c r="I640" s="22"/>
    </row>
    <row r="641" customFormat="false" ht="15" hidden="false" customHeight="true" outlineLevel="0" collapsed="false">
      <c r="A641" s="22"/>
      <c r="B641" s="22"/>
      <c r="C641" s="22"/>
      <c r="D641" s="22"/>
      <c r="E641" s="9"/>
      <c r="F641" s="9"/>
      <c r="G641" s="9"/>
      <c r="H641" s="20"/>
      <c r="I641" s="22"/>
    </row>
    <row r="642" customFormat="false" ht="15" hidden="false" customHeight="true" outlineLevel="0" collapsed="false">
      <c r="A642" s="22"/>
      <c r="B642" s="22"/>
      <c r="C642" s="22"/>
      <c r="D642" s="22"/>
      <c r="E642" s="9"/>
      <c r="F642" s="9"/>
      <c r="G642" s="9"/>
      <c r="H642" s="20"/>
      <c r="I642" s="22"/>
    </row>
    <row r="643" customFormat="false" ht="15" hidden="false" customHeight="true" outlineLevel="0" collapsed="false">
      <c r="A643" s="22"/>
      <c r="B643" s="22"/>
      <c r="C643" s="22"/>
      <c r="D643" s="22"/>
      <c r="E643" s="9"/>
      <c r="F643" s="9"/>
      <c r="G643" s="9"/>
      <c r="H643" s="20"/>
      <c r="I643" s="22"/>
    </row>
    <row r="644" customFormat="false" ht="15" hidden="false" customHeight="true" outlineLevel="0" collapsed="false">
      <c r="A644" s="22"/>
      <c r="B644" s="22"/>
      <c r="C644" s="22"/>
      <c r="D644" s="22"/>
      <c r="E644" s="9"/>
      <c r="F644" s="9"/>
      <c r="G644" s="9"/>
      <c r="H644" s="20"/>
      <c r="I644" s="22"/>
    </row>
    <row r="645" customFormat="false" ht="15" hidden="false" customHeight="true" outlineLevel="0" collapsed="false">
      <c r="A645" s="22"/>
      <c r="B645" s="22"/>
      <c r="C645" s="22"/>
      <c r="D645" s="22"/>
      <c r="E645" s="9"/>
      <c r="F645" s="9"/>
      <c r="G645" s="9"/>
      <c r="H645" s="20"/>
      <c r="I645" s="22"/>
    </row>
    <row r="646" customFormat="false" ht="15" hidden="false" customHeight="true" outlineLevel="0" collapsed="false">
      <c r="A646" s="22"/>
      <c r="B646" s="22"/>
      <c r="C646" s="22"/>
      <c r="D646" s="22"/>
      <c r="E646" s="9"/>
      <c r="F646" s="9"/>
      <c r="G646" s="9"/>
      <c r="H646" s="20"/>
      <c r="I646" s="22"/>
    </row>
    <row r="647" customFormat="false" ht="15" hidden="false" customHeight="true" outlineLevel="0" collapsed="false">
      <c r="A647" s="22"/>
      <c r="B647" s="22"/>
      <c r="C647" s="22"/>
      <c r="D647" s="22"/>
      <c r="E647" s="9"/>
      <c r="F647" s="9"/>
      <c r="G647" s="9"/>
      <c r="H647" s="20"/>
      <c r="I647" s="22"/>
    </row>
    <row r="648" customFormat="false" ht="15" hidden="false" customHeight="true" outlineLevel="0" collapsed="false">
      <c r="A648" s="22"/>
      <c r="B648" s="22"/>
      <c r="C648" s="22"/>
      <c r="D648" s="22"/>
      <c r="E648" s="9"/>
      <c r="F648" s="9"/>
      <c r="G648" s="9"/>
      <c r="H648" s="20"/>
      <c r="I648" s="22"/>
    </row>
    <row r="649" customFormat="false" ht="15" hidden="false" customHeight="true" outlineLevel="0" collapsed="false">
      <c r="A649" s="22"/>
      <c r="B649" s="22"/>
      <c r="C649" s="22"/>
      <c r="D649" s="22"/>
      <c r="E649" s="9"/>
      <c r="F649" s="9"/>
      <c r="G649" s="9"/>
      <c r="H649" s="20"/>
      <c r="I649" s="22"/>
    </row>
    <row r="650" customFormat="false" ht="15" hidden="false" customHeight="true" outlineLevel="0" collapsed="false">
      <c r="A650" s="22"/>
      <c r="B650" s="22"/>
      <c r="C650" s="22"/>
      <c r="D650" s="22"/>
      <c r="E650" s="9"/>
      <c r="F650" s="9"/>
      <c r="G650" s="9"/>
      <c r="H650" s="20"/>
      <c r="I650" s="22"/>
    </row>
    <row r="651" customFormat="false" ht="15" hidden="false" customHeight="true" outlineLevel="0" collapsed="false">
      <c r="A651" s="22"/>
      <c r="B651" s="22"/>
      <c r="C651" s="22"/>
      <c r="D651" s="22"/>
      <c r="E651" s="9"/>
      <c r="F651" s="9"/>
      <c r="G651" s="9"/>
      <c r="H651" s="20"/>
      <c r="I651" s="22"/>
    </row>
    <row r="652" customFormat="false" ht="15" hidden="false" customHeight="true" outlineLevel="0" collapsed="false">
      <c r="A652" s="22"/>
      <c r="B652" s="22"/>
      <c r="C652" s="22"/>
      <c r="D652" s="22"/>
      <c r="E652" s="9"/>
      <c r="F652" s="9"/>
      <c r="G652" s="9"/>
      <c r="H652" s="20"/>
      <c r="I652" s="22"/>
    </row>
    <row r="653" customFormat="false" ht="15" hidden="false" customHeight="true" outlineLevel="0" collapsed="false">
      <c r="A653" s="22"/>
      <c r="B653" s="22"/>
      <c r="C653" s="22"/>
      <c r="D653" s="22"/>
      <c r="E653" s="9"/>
      <c r="F653" s="9"/>
      <c r="G653" s="9"/>
      <c r="H653" s="20"/>
      <c r="I653" s="22"/>
    </row>
    <row r="654" customFormat="false" ht="15" hidden="false" customHeight="true" outlineLevel="0" collapsed="false">
      <c r="A654" s="22"/>
      <c r="B654" s="22"/>
      <c r="C654" s="22"/>
      <c r="D654" s="22"/>
      <c r="E654" s="9"/>
      <c r="F654" s="9"/>
      <c r="G654" s="9"/>
      <c r="H654" s="20"/>
      <c r="I654" s="22"/>
    </row>
    <row r="655" customFormat="false" ht="15" hidden="false" customHeight="true" outlineLevel="0" collapsed="false">
      <c r="A655" s="22"/>
      <c r="B655" s="22"/>
      <c r="C655" s="22"/>
      <c r="D655" s="22"/>
      <c r="E655" s="9"/>
      <c r="F655" s="9"/>
      <c r="G655" s="9"/>
      <c r="H655" s="20"/>
      <c r="I655" s="22"/>
    </row>
    <row r="656" customFormat="false" ht="15" hidden="false" customHeight="true" outlineLevel="0" collapsed="false">
      <c r="A656" s="22"/>
      <c r="B656" s="22"/>
      <c r="C656" s="22"/>
      <c r="D656" s="22"/>
      <c r="E656" s="9"/>
      <c r="F656" s="9"/>
      <c r="G656" s="9"/>
      <c r="H656" s="20"/>
      <c r="I656" s="22"/>
    </row>
    <row r="657" customFormat="false" ht="15" hidden="false" customHeight="true" outlineLevel="0" collapsed="false">
      <c r="A657" s="22"/>
      <c r="B657" s="22"/>
      <c r="C657" s="22"/>
      <c r="D657" s="22"/>
      <c r="E657" s="9"/>
      <c r="F657" s="9"/>
      <c r="G657" s="9"/>
      <c r="H657" s="20"/>
      <c r="I657" s="22"/>
    </row>
    <row r="658" customFormat="false" ht="15" hidden="false" customHeight="true" outlineLevel="0" collapsed="false">
      <c r="A658" s="22"/>
      <c r="B658" s="22"/>
      <c r="C658" s="22"/>
      <c r="D658" s="22"/>
      <c r="E658" s="9"/>
      <c r="F658" s="9"/>
      <c r="G658" s="9"/>
      <c r="H658" s="20"/>
      <c r="I658" s="22"/>
    </row>
    <row r="659" customFormat="false" ht="15" hidden="false" customHeight="true" outlineLevel="0" collapsed="false">
      <c r="A659" s="22"/>
      <c r="B659" s="22"/>
      <c r="C659" s="22"/>
      <c r="D659" s="22"/>
      <c r="E659" s="9"/>
      <c r="F659" s="9"/>
      <c r="G659" s="9"/>
      <c r="H659" s="20"/>
      <c r="I659" s="22"/>
    </row>
    <row r="660" customFormat="false" ht="15" hidden="false" customHeight="true" outlineLevel="0" collapsed="false">
      <c r="A660" s="22"/>
      <c r="B660" s="22"/>
      <c r="C660" s="22"/>
      <c r="D660" s="22"/>
      <c r="E660" s="9"/>
      <c r="F660" s="9"/>
      <c r="G660" s="9"/>
      <c r="H660" s="20"/>
      <c r="I660" s="22"/>
    </row>
    <row r="661" customFormat="false" ht="15" hidden="false" customHeight="true" outlineLevel="0" collapsed="false">
      <c r="A661" s="22"/>
      <c r="B661" s="22"/>
      <c r="C661" s="22"/>
      <c r="D661" s="22"/>
      <c r="E661" s="9"/>
      <c r="F661" s="9"/>
      <c r="G661" s="9"/>
      <c r="H661" s="20"/>
      <c r="I661" s="22"/>
    </row>
    <row r="662" customFormat="false" ht="15" hidden="false" customHeight="true" outlineLevel="0" collapsed="false">
      <c r="A662" s="22"/>
      <c r="B662" s="22"/>
      <c r="C662" s="22"/>
      <c r="D662" s="22"/>
      <c r="E662" s="9"/>
      <c r="F662" s="9"/>
      <c r="G662" s="9"/>
      <c r="H662" s="20"/>
      <c r="I662" s="22"/>
    </row>
    <row r="663" customFormat="false" ht="15" hidden="false" customHeight="true" outlineLevel="0" collapsed="false">
      <c r="A663" s="22"/>
      <c r="B663" s="22"/>
      <c r="C663" s="22"/>
      <c r="D663" s="22"/>
      <c r="E663" s="9"/>
      <c r="F663" s="9"/>
      <c r="G663" s="9"/>
      <c r="H663" s="20"/>
      <c r="I663" s="22"/>
    </row>
    <row r="664" customFormat="false" ht="15" hidden="false" customHeight="true" outlineLevel="0" collapsed="false">
      <c r="A664" s="22"/>
      <c r="B664" s="22"/>
      <c r="C664" s="22"/>
      <c r="D664" s="22"/>
      <c r="E664" s="9"/>
      <c r="F664" s="9"/>
      <c r="G664" s="9"/>
      <c r="H664" s="20"/>
      <c r="I664" s="22"/>
    </row>
    <row r="665" customFormat="false" ht="15" hidden="false" customHeight="true" outlineLevel="0" collapsed="false">
      <c r="A665" s="22"/>
      <c r="B665" s="22"/>
      <c r="C665" s="22"/>
      <c r="D665" s="22"/>
      <c r="E665" s="9"/>
      <c r="F665" s="9"/>
      <c r="G665" s="9"/>
      <c r="H665" s="20"/>
      <c r="I665" s="22"/>
    </row>
    <row r="666" customFormat="false" ht="15" hidden="false" customHeight="true" outlineLevel="0" collapsed="false">
      <c r="A666" s="22"/>
      <c r="B666" s="22"/>
      <c r="C666" s="22"/>
      <c r="D666" s="22"/>
      <c r="E666" s="9"/>
      <c r="F666" s="9"/>
      <c r="G666" s="9"/>
      <c r="H666" s="20"/>
      <c r="I666" s="22"/>
    </row>
    <row r="667" customFormat="false" ht="15" hidden="false" customHeight="true" outlineLevel="0" collapsed="false">
      <c r="A667" s="22"/>
      <c r="B667" s="22"/>
      <c r="C667" s="22"/>
      <c r="D667" s="22"/>
      <c r="E667" s="9"/>
      <c r="F667" s="9"/>
      <c r="G667" s="9"/>
      <c r="H667" s="20"/>
      <c r="I667" s="22"/>
    </row>
    <row r="668" customFormat="false" ht="15" hidden="false" customHeight="true" outlineLevel="0" collapsed="false">
      <c r="A668" s="22"/>
      <c r="B668" s="22"/>
      <c r="C668" s="22"/>
      <c r="D668" s="22"/>
      <c r="E668" s="9"/>
      <c r="F668" s="9"/>
      <c r="G668" s="9"/>
      <c r="H668" s="20"/>
      <c r="I668" s="22"/>
    </row>
    <row r="669" customFormat="false" ht="15" hidden="false" customHeight="true" outlineLevel="0" collapsed="false">
      <c r="A669" s="22"/>
      <c r="B669" s="22"/>
      <c r="C669" s="22"/>
      <c r="D669" s="22"/>
      <c r="E669" s="9"/>
      <c r="F669" s="9"/>
      <c r="G669" s="9"/>
      <c r="H669" s="20"/>
      <c r="I669" s="22"/>
    </row>
    <row r="670" customFormat="false" ht="15" hidden="false" customHeight="true" outlineLevel="0" collapsed="false">
      <c r="A670" s="22"/>
      <c r="B670" s="22"/>
      <c r="C670" s="22"/>
      <c r="D670" s="22"/>
      <c r="E670" s="9"/>
      <c r="F670" s="9"/>
      <c r="G670" s="9"/>
      <c r="H670" s="20"/>
      <c r="I670" s="22"/>
    </row>
    <row r="671" customFormat="false" ht="15" hidden="false" customHeight="true" outlineLevel="0" collapsed="false">
      <c r="A671" s="22"/>
      <c r="B671" s="22"/>
      <c r="C671" s="22"/>
      <c r="D671" s="22"/>
      <c r="E671" s="9"/>
      <c r="F671" s="9"/>
      <c r="G671" s="9"/>
      <c r="H671" s="20"/>
      <c r="I671" s="22"/>
    </row>
    <row r="672" customFormat="false" ht="15" hidden="false" customHeight="true" outlineLevel="0" collapsed="false">
      <c r="A672" s="22"/>
      <c r="B672" s="22"/>
      <c r="C672" s="22"/>
      <c r="D672" s="22"/>
      <c r="E672" s="9"/>
      <c r="F672" s="9"/>
      <c r="G672" s="9"/>
      <c r="H672" s="20"/>
      <c r="I672" s="22"/>
    </row>
    <row r="673" customFormat="false" ht="15" hidden="false" customHeight="true" outlineLevel="0" collapsed="false">
      <c r="A673" s="22"/>
      <c r="B673" s="22"/>
      <c r="C673" s="22"/>
      <c r="D673" s="22"/>
      <c r="E673" s="9"/>
      <c r="F673" s="9"/>
      <c r="G673" s="9"/>
      <c r="H673" s="20"/>
      <c r="I673" s="22"/>
    </row>
    <row r="674" customFormat="false" ht="15" hidden="false" customHeight="true" outlineLevel="0" collapsed="false">
      <c r="A674" s="22"/>
      <c r="B674" s="22"/>
      <c r="C674" s="22"/>
      <c r="D674" s="22"/>
      <c r="E674" s="9"/>
      <c r="F674" s="9"/>
      <c r="G674" s="9"/>
      <c r="H674" s="20"/>
      <c r="I674" s="22"/>
    </row>
    <row r="675" customFormat="false" ht="15" hidden="false" customHeight="true" outlineLevel="0" collapsed="false">
      <c r="A675" s="22"/>
      <c r="B675" s="22"/>
      <c r="C675" s="22"/>
      <c r="D675" s="22"/>
      <c r="E675" s="9"/>
      <c r="F675" s="9"/>
      <c r="G675" s="9"/>
      <c r="H675" s="20"/>
      <c r="I675" s="22"/>
    </row>
    <row r="676" customFormat="false" ht="15" hidden="false" customHeight="true" outlineLevel="0" collapsed="false">
      <c r="A676" s="22"/>
      <c r="B676" s="22"/>
      <c r="C676" s="22"/>
      <c r="D676" s="22"/>
      <c r="E676" s="9"/>
      <c r="F676" s="9"/>
      <c r="G676" s="9"/>
      <c r="H676" s="20"/>
      <c r="I676" s="22"/>
    </row>
    <row r="677" customFormat="false" ht="15" hidden="false" customHeight="true" outlineLevel="0" collapsed="false">
      <c r="A677" s="22"/>
      <c r="B677" s="22"/>
      <c r="C677" s="22"/>
      <c r="D677" s="22"/>
      <c r="E677" s="9"/>
      <c r="F677" s="9"/>
      <c r="G677" s="9"/>
      <c r="H677" s="20"/>
      <c r="I677" s="22"/>
    </row>
    <row r="678" customFormat="false" ht="15" hidden="false" customHeight="true" outlineLevel="0" collapsed="false">
      <c r="A678" s="22"/>
      <c r="B678" s="22"/>
      <c r="C678" s="22"/>
      <c r="D678" s="22"/>
      <c r="E678" s="9"/>
      <c r="F678" s="9"/>
      <c r="G678" s="9"/>
      <c r="H678" s="20"/>
      <c r="I678" s="22"/>
    </row>
    <row r="679" customFormat="false" ht="15" hidden="false" customHeight="true" outlineLevel="0" collapsed="false">
      <c r="A679" s="22"/>
      <c r="B679" s="22"/>
      <c r="C679" s="22"/>
      <c r="D679" s="22"/>
      <c r="E679" s="9"/>
      <c r="F679" s="9"/>
      <c r="G679" s="9"/>
      <c r="H679" s="20"/>
      <c r="I679" s="22"/>
    </row>
    <row r="680" customFormat="false" ht="15" hidden="false" customHeight="true" outlineLevel="0" collapsed="false">
      <c r="A680" s="22"/>
      <c r="B680" s="22"/>
      <c r="C680" s="22"/>
      <c r="D680" s="22"/>
      <c r="E680" s="9"/>
      <c r="F680" s="9"/>
      <c r="G680" s="9"/>
      <c r="H680" s="20"/>
      <c r="I680" s="22"/>
    </row>
    <row r="681" customFormat="false" ht="15" hidden="false" customHeight="true" outlineLevel="0" collapsed="false">
      <c r="A681" s="22"/>
      <c r="B681" s="22"/>
      <c r="C681" s="22"/>
      <c r="D681" s="22"/>
      <c r="E681" s="9"/>
      <c r="F681" s="9"/>
      <c r="G681" s="9"/>
      <c r="H681" s="20"/>
      <c r="I681" s="22"/>
    </row>
    <row r="682" customFormat="false" ht="15" hidden="false" customHeight="true" outlineLevel="0" collapsed="false">
      <c r="A682" s="22"/>
      <c r="B682" s="22"/>
      <c r="C682" s="22"/>
      <c r="D682" s="22"/>
      <c r="E682" s="9"/>
      <c r="F682" s="9"/>
      <c r="G682" s="9"/>
      <c r="H682" s="20"/>
      <c r="I682" s="22"/>
    </row>
    <row r="683" customFormat="false" ht="15" hidden="false" customHeight="true" outlineLevel="0" collapsed="false">
      <c r="A683" s="22"/>
      <c r="B683" s="22"/>
      <c r="C683" s="22"/>
      <c r="D683" s="22"/>
      <c r="E683" s="9"/>
      <c r="F683" s="9"/>
      <c r="G683" s="9"/>
      <c r="H683" s="20"/>
      <c r="I683" s="22"/>
    </row>
    <row r="684" customFormat="false" ht="15" hidden="false" customHeight="true" outlineLevel="0" collapsed="false">
      <c r="A684" s="22"/>
      <c r="B684" s="22"/>
      <c r="C684" s="22"/>
      <c r="D684" s="22"/>
      <c r="E684" s="9"/>
      <c r="F684" s="9"/>
      <c r="G684" s="9"/>
      <c r="H684" s="20"/>
      <c r="I684" s="22"/>
    </row>
    <row r="685" customFormat="false" ht="15" hidden="false" customHeight="true" outlineLevel="0" collapsed="false">
      <c r="A685" s="22"/>
      <c r="B685" s="22"/>
      <c r="C685" s="22"/>
      <c r="D685" s="22"/>
      <c r="E685" s="9"/>
      <c r="F685" s="9"/>
      <c r="G685" s="9"/>
      <c r="H685" s="20"/>
      <c r="I685" s="22"/>
    </row>
    <row r="686" customFormat="false" ht="15" hidden="false" customHeight="true" outlineLevel="0" collapsed="false">
      <c r="A686" s="22"/>
      <c r="B686" s="22"/>
      <c r="C686" s="22"/>
      <c r="D686" s="22"/>
      <c r="E686" s="9"/>
      <c r="F686" s="9"/>
      <c r="G686" s="9"/>
      <c r="H686" s="20"/>
      <c r="I686" s="22"/>
    </row>
    <row r="687" customFormat="false" ht="15" hidden="false" customHeight="true" outlineLevel="0" collapsed="false">
      <c r="A687" s="22"/>
      <c r="B687" s="22"/>
      <c r="C687" s="22"/>
      <c r="D687" s="22"/>
      <c r="E687" s="9"/>
      <c r="F687" s="9"/>
      <c r="G687" s="9"/>
      <c r="H687" s="20"/>
      <c r="I687" s="22"/>
    </row>
    <row r="688" customFormat="false" ht="15" hidden="false" customHeight="true" outlineLevel="0" collapsed="false">
      <c r="A688" s="22"/>
      <c r="B688" s="22"/>
      <c r="C688" s="22"/>
      <c r="D688" s="22"/>
      <c r="E688" s="9"/>
      <c r="F688" s="9"/>
      <c r="G688" s="9"/>
      <c r="H688" s="20"/>
      <c r="I688" s="22"/>
    </row>
    <row r="689" customFormat="false" ht="15" hidden="false" customHeight="true" outlineLevel="0" collapsed="false">
      <c r="A689" s="22"/>
      <c r="B689" s="22"/>
      <c r="C689" s="22"/>
      <c r="D689" s="22"/>
      <c r="E689" s="9"/>
      <c r="F689" s="9"/>
      <c r="G689" s="9"/>
      <c r="H689" s="20"/>
      <c r="I689" s="22"/>
    </row>
    <row r="690" customFormat="false" ht="15" hidden="false" customHeight="true" outlineLevel="0" collapsed="false">
      <c r="A690" s="22"/>
      <c r="B690" s="22"/>
      <c r="C690" s="22"/>
      <c r="D690" s="22"/>
      <c r="E690" s="9"/>
      <c r="F690" s="9"/>
      <c r="G690" s="9"/>
      <c r="H690" s="20"/>
      <c r="I690" s="22"/>
    </row>
    <row r="691" customFormat="false" ht="15" hidden="false" customHeight="true" outlineLevel="0" collapsed="false">
      <c r="A691" s="22"/>
      <c r="B691" s="22"/>
      <c r="C691" s="22"/>
      <c r="D691" s="22"/>
      <c r="E691" s="9"/>
      <c r="F691" s="9"/>
      <c r="G691" s="9"/>
      <c r="H691" s="20"/>
      <c r="I691" s="22"/>
    </row>
    <row r="692" customFormat="false" ht="15" hidden="false" customHeight="true" outlineLevel="0" collapsed="false">
      <c r="A692" s="22"/>
      <c r="B692" s="22"/>
      <c r="C692" s="22"/>
      <c r="D692" s="22"/>
      <c r="E692" s="9"/>
      <c r="F692" s="9"/>
      <c r="G692" s="9"/>
      <c r="H692" s="20"/>
      <c r="I692" s="22"/>
    </row>
    <row r="693" customFormat="false" ht="15" hidden="false" customHeight="true" outlineLevel="0" collapsed="false">
      <c r="A693" s="22"/>
      <c r="B693" s="22"/>
      <c r="C693" s="22"/>
      <c r="D693" s="22"/>
      <c r="E693" s="9"/>
      <c r="F693" s="9"/>
      <c r="G693" s="9"/>
      <c r="H693" s="20"/>
      <c r="I693" s="22"/>
    </row>
    <row r="694" customFormat="false" ht="15" hidden="false" customHeight="true" outlineLevel="0" collapsed="false">
      <c r="A694" s="22"/>
      <c r="B694" s="22"/>
      <c r="C694" s="22"/>
      <c r="D694" s="22"/>
      <c r="E694" s="9"/>
      <c r="F694" s="9"/>
      <c r="G694" s="9"/>
      <c r="H694" s="20"/>
      <c r="I694" s="22"/>
    </row>
    <row r="695" customFormat="false" ht="15" hidden="false" customHeight="true" outlineLevel="0" collapsed="false">
      <c r="A695" s="22"/>
      <c r="B695" s="22"/>
      <c r="C695" s="22"/>
      <c r="D695" s="22"/>
      <c r="E695" s="9"/>
      <c r="F695" s="9"/>
      <c r="G695" s="9"/>
      <c r="H695" s="20"/>
      <c r="I695" s="22"/>
    </row>
    <row r="696" customFormat="false" ht="15" hidden="false" customHeight="true" outlineLevel="0" collapsed="false">
      <c r="A696" s="22"/>
      <c r="B696" s="22"/>
      <c r="C696" s="22"/>
      <c r="D696" s="22"/>
      <c r="E696" s="9"/>
      <c r="F696" s="9"/>
      <c r="G696" s="9"/>
      <c r="H696" s="20"/>
      <c r="I696" s="22"/>
    </row>
    <row r="697" customFormat="false" ht="15" hidden="false" customHeight="true" outlineLevel="0" collapsed="false">
      <c r="A697" s="22"/>
      <c r="B697" s="22"/>
      <c r="C697" s="22"/>
      <c r="D697" s="22"/>
      <c r="E697" s="9"/>
      <c r="F697" s="9"/>
      <c r="G697" s="9"/>
      <c r="H697" s="20"/>
      <c r="I697" s="22"/>
    </row>
    <row r="698" customFormat="false" ht="15" hidden="false" customHeight="true" outlineLevel="0" collapsed="false">
      <c r="A698" s="22"/>
      <c r="B698" s="22"/>
      <c r="C698" s="22"/>
      <c r="D698" s="22"/>
      <c r="E698" s="9"/>
      <c r="F698" s="9"/>
      <c r="G698" s="9"/>
      <c r="H698" s="20"/>
      <c r="I698" s="22"/>
    </row>
    <row r="699" customFormat="false" ht="15" hidden="false" customHeight="true" outlineLevel="0" collapsed="false">
      <c r="A699" s="22"/>
      <c r="B699" s="22"/>
      <c r="C699" s="22"/>
      <c r="D699" s="22"/>
      <c r="E699" s="9"/>
      <c r="F699" s="9"/>
      <c r="G699" s="9"/>
      <c r="H699" s="20"/>
      <c r="I699" s="22"/>
    </row>
    <row r="700" customFormat="false" ht="15" hidden="false" customHeight="true" outlineLevel="0" collapsed="false">
      <c r="A700" s="22"/>
      <c r="B700" s="22"/>
      <c r="C700" s="22"/>
      <c r="D700" s="22"/>
      <c r="E700" s="9"/>
      <c r="F700" s="9"/>
      <c r="G700" s="9"/>
      <c r="H700" s="20"/>
      <c r="I700" s="22"/>
    </row>
    <row r="701" customFormat="false" ht="15" hidden="false" customHeight="true" outlineLevel="0" collapsed="false">
      <c r="A701" s="22"/>
      <c r="B701" s="22"/>
      <c r="C701" s="22"/>
      <c r="D701" s="22"/>
      <c r="E701" s="9"/>
      <c r="F701" s="9"/>
      <c r="G701" s="9"/>
      <c r="H701" s="20"/>
      <c r="I701" s="22"/>
    </row>
    <row r="702" customFormat="false" ht="15" hidden="false" customHeight="true" outlineLevel="0" collapsed="false">
      <c r="A702" s="22"/>
      <c r="B702" s="22"/>
      <c r="C702" s="22"/>
      <c r="D702" s="22"/>
      <c r="E702" s="9"/>
      <c r="F702" s="9"/>
      <c r="G702" s="9"/>
      <c r="H702" s="20"/>
      <c r="I702" s="22"/>
    </row>
    <row r="703" customFormat="false" ht="15" hidden="false" customHeight="true" outlineLevel="0" collapsed="false">
      <c r="A703" s="22"/>
      <c r="B703" s="22"/>
      <c r="C703" s="22"/>
      <c r="D703" s="22"/>
      <c r="E703" s="9"/>
      <c r="F703" s="9"/>
      <c r="G703" s="9"/>
      <c r="H703" s="20"/>
      <c r="I703" s="22"/>
    </row>
    <row r="704" customFormat="false" ht="15" hidden="false" customHeight="true" outlineLevel="0" collapsed="false">
      <c r="A704" s="22"/>
      <c r="B704" s="22"/>
      <c r="C704" s="22"/>
      <c r="D704" s="22"/>
      <c r="E704" s="9"/>
      <c r="F704" s="9"/>
      <c r="G704" s="9"/>
      <c r="H704" s="20"/>
      <c r="I704" s="22"/>
    </row>
    <row r="705" customFormat="false" ht="15" hidden="false" customHeight="true" outlineLevel="0" collapsed="false">
      <c r="A705" s="22"/>
      <c r="B705" s="22"/>
      <c r="C705" s="22"/>
      <c r="D705" s="22"/>
      <c r="E705" s="9"/>
      <c r="F705" s="9"/>
      <c r="G705" s="9"/>
      <c r="H705" s="20"/>
      <c r="I705" s="22"/>
    </row>
    <row r="706" customFormat="false" ht="15" hidden="false" customHeight="true" outlineLevel="0" collapsed="false">
      <c r="A706" s="22"/>
      <c r="B706" s="22"/>
      <c r="C706" s="22"/>
      <c r="D706" s="22"/>
      <c r="E706" s="9"/>
      <c r="F706" s="9"/>
      <c r="G706" s="9"/>
      <c r="H706" s="20"/>
      <c r="I706" s="22"/>
    </row>
    <row r="707" customFormat="false" ht="15" hidden="false" customHeight="true" outlineLevel="0" collapsed="false">
      <c r="A707" s="22"/>
      <c r="B707" s="22"/>
      <c r="C707" s="22"/>
      <c r="D707" s="22"/>
      <c r="E707" s="9"/>
      <c r="F707" s="9"/>
      <c r="G707" s="9"/>
      <c r="H707" s="20"/>
      <c r="I707" s="22"/>
    </row>
    <row r="708" customFormat="false" ht="15" hidden="false" customHeight="true" outlineLevel="0" collapsed="false">
      <c r="A708" s="22"/>
      <c r="B708" s="22"/>
      <c r="C708" s="22"/>
      <c r="D708" s="22"/>
      <c r="E708" s="9"/>
      <c r="F708" s="9"/>
      <c r="G708" s="9"/>
      <c r="H708" s="20"/>
      <c r="I708" s="22"/>
    </row>
    <row r="709" customFormat="false" ht="15" hidden="false" customHeight="true" outlineLevel="0" collapsed="false">
      <c r="A709" s="22"/>
      <c r="B709" s="22"/>
      <c r="C709" s="22"/>
      <c r="D709" s="22"/>
      <c r="E709" s="9"/>
      <c r="F709" s="9"/>
      <c r="G709" s="9"/>
      <c r="H709" s="20"/>
      <c r="I709" s="22"/>
    </row>
    <row r="710" customFormat="false" ht="15" hidden="false" customHeight="true" outlineLevel="0" collapsed="false">
      <c r="A710" s="22"/>
      <c r="B710" s="22"/>
      <c r="C710" s="22"/>
      <c r="D710" s="22"/>
      <c r="E710" s="9"/>
      <c r="F710" s="9"/>
      <c r="G710" s="9"/>
      <c r="H710" s="20"/>
      <c r="I710" s="22"/>
    </row>
    <row r="711" customFormat="false" ht="15" hidden="false" customHeight="true" outlineLevel="0" collapsed="false">
      <c r="A711" s="22"/>
      <c r="B711" s="22"/>
      <c r="C711" s="22"/>
      <c r="D711" s="22"/>
      <c r="E711" s="9"/>
      <c r="F711" s="9"/>
      <c r="G711" s="9"/>
      <c r="H711" s="20"/>
      <c r="I711" s="22"/>
    </row>
    <row r="712" customFormat="false" ht="15" hidden="false" customHeight="true" outlineLevel="0" collapsed="false">
      <c r="A712" s="22"/>
      <c r="B712" s="22"/>
      <c r="C712" s="22"/>
      <c r="D712" s="22"/>
      <c r="E712" s="9"/>
      <c r="F712" s="9"/>
      <c r="G712" s="9"/>
      <c r="H712" s="20"/>
      <c r="I712" s="22"/>
    </row>
    <row r="713" customFormat="false" ht="15" hidden="false" customHeight="true" outlineLevel="0" collapsed="false">
      <c r="A713" s="22"/>
      <c r="B713" s="22"/>
      <c r="C713" s="22"/>
      <c r="D713" s="22"/>
      <c r="E713" s="9"/>
      <c r="F713" s="9"/>
      <c r="G713" s="9"/>
      <c r="H713" s="20"/>
      <c r="I713" s="22"/>
    </row>
    <row r="714" customFormat="false" ht="15" hidden="false" customHeight="true" outlineLevel="0" collapsed="false">
      <c r="A714" s="22"/>
      <c r="B714" s="22"/>
      <c r="C714" s="22"/>
      <c r="D714" s="22"/>
      <c r="E714" s="9"/>
      <c r="F714" s="9"/>
      <c r="G714" s="9"/>
      <c r="H714" s="20"/>
      <c r="I714" s="22"/>
    </row>
    <row r="715" customFormat="false" ht="15" hidden="false" customHeight="true" outlineLevel="0" collapsed="false">
      <c r="A715" s="22"/>
      <c r="B715" s="22"/>
      <c r="C715" s="22"/>
      <c r="D715" s="22"/>
      <c r="E715" s="9"/>
      <c r="F715" s="9"/>
      <c r="G715" s="9"/>
      <c r="H715" s="20"/>
      <c r="I715" s="22"/>
    </row>
    <row r="716" customFormat="false" ht="15" hidden="false" customHeight="true" outlineLevel="0" collapsed="false">
      <c r="A716" s="22"/>
      <c r="B716" s="22"/>
      <c r="C716" s="22"/>
      <c r="D716" s="22"/>
      <c r="E716" s="9"/>
      <c r="F716" s="9"/>
      <c r="G716" s="9"/>
      <c r="H716" s="20"/>
      <c r="I716" s="22"/>
    </row>
    <row r="717" customFormat="false" ht="15" hidden="false" customHeight="true" outlineLevel="0" collapsed="false">
      <c r="A717" s="22"/>
      <c r="B717" s="22"/>
      <c r="C717" s="22"/>
      <c r="D717" s="22"/>
      <c r="E717" s="9"/>
      <c r="F717" s="9"/>
      <c r="G717" s="9"/>
      <c r="H717" s="20"/>
      <c r="I717" s="22"/>
    </row>
    <row r="718" customFormat="false" ht="15" hidden="false" customHeight="true" outlineLevel="0" collapsed="false">
      <c r="A718" s="22"/>
      <c r="B718" s="22"/>
      <c r="C718" s="22"/>
      <c r="D718" s="22"/>
      <c r="E718" s="9"/>
      <c r="F718" s="9"/>
      <c r="G718" s="9"/>
      <c r="H718" s="20"/>
      <c r="I718" s="22"/>
    </row>
    <row r="719" customFormat="false" ht="15" hidden="false" customHeight="true" outlineLevel="0" collapsed="false">
      <c r="A719" s="22"/>
      <c r="B719" s="22"/>
      <c r="C719" s="22"/>
      <c r="D719" s="22"/>
      <c r="E719" s="9"/>
      <c r="F719" s="9"/>
      <c r="G719" s="9"/>
      <c r="H719" s="20"/>
      <c r="I719" s="22"/>
    </row>
    <row r="720" customFormat="false" ht="15" hidden="false" customHeight="true" outlineLevel="0" collapsed="false">
      <c r="A720" s="22"/>
      <c r="B720" s="22"/>
      <c r="C720" s="22"/>
      <c r="D720" s="22"/>
      <c r="E720" s="9"/>
      <c r="F720" s="9"/>
      <c r="G720" s="9"/>
      <c r="H720" s="20"/>
      <c r="I720" s="22"/>
    </row>
    <row r="721" customFormat="false" ht="15" hidden="false" customHeight="true" outlineLevel="0" collapsed="false">
      <c r="A721" s="22"/>
      <c r="B721" s="22"/>
      <c r="C721" s="22"/>
      <c r="D721" s="22"/>
      <c r="E721" s="9"/>
      <c r="F721" s="9"/>
      <c r="G721" s="9"/>
      <c r="H721" s="20"/>
      <c r="I721" s="22"/>
    </row>
    <row r="722" customFormat="false" ht="15" hidden="false" customHeight="true" outlineLevel="0" collapsed="false">
      <c r="A722" s="22"/>
      <c r="B722" s="22"/>
      <c r="C722" s="22"/>
      <c r="D722" s="22"/>
      <c r="E722" s="9"/>
      <c r="F722" s="9"/>
      <c r="G722" s="9"/>
      <c r="H722" s="20"/>
      <c r="I722" s="22"/>
    </row>
    <row r="723" customFormat="false" ht="15" hidden="false" customHeight="true" outlineLevel="0" collapsed="false">
      <c r="A723" s="22"/>
      <c r="B723" s="22"/>
      <c r="C723" s="22"/>
      <c r="D723" s="22"/>
      <c r="E723" s="9"/>
      <c r="F723" s="9"/>
      <c r="G723" s="9"/>
      <c r="H723" s="20"/>
      <c r="I723" s="22"/>
    </row>
    <row r="724" customFormat="false" ht="15" hidden="false" customHeight="true" outlineLevel="0" collapsed="false">
      <c r="A724" s="22"/>
      <c r="B724" s="22"/>
      <c r="C724" s="22"/>
      <c r="D724" s="22"/>
      <c r="E724" s="9"/>
      <c r="F724" s="9"/>
      <c r="G724" s="9"/>
      <c r="H724" s="20"/>
      <c r="I724" s="22"/>
    </row>
    <row r="725" customFormat="false" ht="15" hidden="false" customHeight="true" outlineLevel="0" collapsed="false">
      <c r="A725" s="22"/>
      <c r="B725" s="22"/>
      <c r="C725" s="22"/>
      <c r="D725" s="22"/>
      <c r="E725" s="9"/>
      <c r="F725" s="9"/>
      <c r="G725" s="9"/>
      <c r="H725" s="20"/>
      <c r="I725" s="22"/>
    </row>
    <row r="726" customFormat="false" ht="15" hidden="false" customHeight="true" outlineLevel="0" collapsed="false">
      <c r="A726" s="22"/>
      <c r="B726" s="22"/>
      <c r="C726" s="22"/>
      <c r="D726" s="22"/>
      <c r="E726" s="9"/>
      <c r="F726" s="9"/>
      <c r="G726" s="9"/>
      <c r="H726" s="20"/>
      <c r="I726" s="22"/>
    </row>
    <row r="727" customFormat="false" ht="15" hidden="false" customHeight="true" outlineLevel="0" collapsed="false">
      <c r="A727" s="22"/>
      <c r="B727" s="22"/>
      <c r="C727" s="22"/>
      <c r="D727" s="22"/>
      <c r="E727" s="9"/>
      <c r="F727" s="9"/>
      <c r="G727" s="9"/>
      <c r="H727" s="20"/>
      <c r="I727" s="22"/>
    </row>
    <row r="728" customFormat="false" ht="15" hidden="false" customHeight="true" outlineLevel="0" collapsed="false">
      <c r="A728" s="22"/>
      <c r="B728" s="22"/>
      <c r="C728" s="22"/>
      <c r="D728" s="22"/>
      <c r="E728" s="9"/>
      <c r="F728" s="9"/>
      <c r="G728" s="9"/>
      <c r="H728" s="20"/>
      <c r="I728" s="22"/>
    </row>
    <row r="729" customFormat="false" ht="15" hidden="false" customHeight="true" outlineLevel="0" collapsed="false">
      <c r="A729" s="22"/>
      <c r="B729" s="22"/>
      <c r="C729" s="22"/>
      <c r="D729" s="22"/>
      <c r="E729" s="9"/>
      <c r="F729" s="9"/>
      <c r="G729" s="9"/>
      <c r="H729" s="20"/>
      <c r="I729" s="22"/>
    </row>
    <row r="730" customFormat="false" ht="15" hidden="false" customHeight="true" outlineLevel="0" collapsed="false">
      <c r="A730" s="22"/>
      <c r="B730" s="22"/>
      <c r="C730" s="22"/>
      <c r="D730" s="22"/>
      <c r="E730" s="9"/>
      <c r="F730" s="9"/>
      <c r="G730" s="9"/>
      <c r="H730" s="20"/>
      <c r="I730" s="22"/>
    </row>
    <row r="731" customFormat="false" ht="15" hidden="false" customHeight="true" outlineLevel="0" collapsed="false">
      <c r="A731" s="22"/>
      <c r="B731" s="22"/>
      <c r="C731" s="22"/>
      <c r="D731" s="22"/>
      <c r="E731" s="9"/>
      <c r="F731" s="9"/>
      <c r="G731" s="9"/>
      <c r="H731" s="20"/>
      <c r="I731" s="22"/>
    </row>
    <row r="732" customFormat="false" ht="15" hidden="false" customHeight="true" outlineLevel="0" collapsed="false">
      <c r="A732" s="22"/>
      <c r="B732" s="22"/>
      <c r="C732" s="22"/>
      <c r="D732" s="22"/>
      <c r="E732" s="9"/>
      <c r="F732" s="9"/>
      <c r="G732" s="9"/>
      <c r="H732" s="20"/>
      <c r="I732" s="22"/>
    </row>
    <row r="733" customFormat="false" ht="15" hidden="false" customHeight="true" outlineLevel="0" collapsed="false">
      <c r="A733" s="22"/>
      <c r="B733" s="22"/>
      <c r="C733" s="22"/>
      <c r="D733" s="22"/>
      <c r="E733" s="9"/>
      <c r="F733" s="9"/>
      <c r="G733" s="9"/>
      <c r="H733" s="20"/>
      <c r="I733" s="22"/>
    </row>
    <row r="734" customFormat="false" ht="15" hidden="false" customHeight="true" outlineLevel="0" collapsed="false">
      <c r="A734" s="22"/>
      <c r="B734" s="22"/>
      <c r="C734" s="22"/>
      <c r="D734" s="22"/>
      <c r="E734" s="9"/>
      <c r="F734" s="9"/>
      <c r="G734" s="9"/>
      <c r="H734" s="20"/>
      <c r="I734" s="22"/>
    </row>
    <row r="735" customFormat="false" ht="15" hidden="false" customHeight="true" outlineLevel="0" collapsed="false">
      <c r="A735" s="22"/>
      <c r="B735" s="22"/>
      <c r="C735" s="22"/>
      <c r="D735" s="22"/>
      <c r="E735" s="9"/>
      <c r="F735" s="9"/>
      <c r="G735" s="9"/>
      <c r="H735" s="20"/>
      <c r="I735" s="22"/>
    </row>
    <row r="736" customFormat="false" ht="15" hidden="false" customHeight="true" outlineLevel="0" collapsed="false">
      <c r="A736" s="22"/>
      <c r="B736" s="22"/>
      <c r="C736" s="22"/>
      <c r="D736" s="22"/>
      <c r="E736" s="9"/>
      <c r="F736" s="9"/>
      <c r="G736" s="9"/>
      <c r="H736" s="20"/>
      <c r="I736" s="22"/>
    </row>
    <row r="737" customFormat="false" ht="15" hidden="false" customHeight="true" outlineLevel="0" collapsed="false">
      <c r="A737" s="22"/>
      <c r="B737" s="22"/>
      <c r="C737" s="22"/>
      <c r="D737" s="22"/>
      <c r="E737" s="9"/>
      <c r="F737" s="9"/>
      <c r="G737" s="9"/>
      <c r="H737" s="20"/>
      <c r="I737" s="22"/>
    </row>
    <row r="738" customFormat="false" ht="15" hidden="false" customHeight="true" outlineLevel="0" collapsed="false">
      <c r="A738" s="22"/>
      <c r="B738" s="22"/>
      <c r="C738" s="22"/>
      <c r="D738" s="22"/>
      <c r="E738" s="9"/>
      <c r="F738" s="9"/>
      <c r="G738" s="9"/>
      <c r="H738" s="20"/>
      <c r="I738" s="22"/>
    </row>
    <row r="739" customFormat="false" ht="15" hidden="false" customHeight="true" outlineLevel="0" collapsed="false">
      <c r="A739" s="22"/>
      <c r="B739" s="22"/>
      <c r="C739" s="22"/>
      <c r="D739" s="22"/>
      <c r="E739" s="9"/>
      <c r="F739" s="9"/>
      <c r="G739" s="9"/>
      <c r="H739" s="20"/>
      <c r="I739" s="22"/>
    </row>
    <row r="740" customFormat="false" ht="15" hidden="false" customHeight="true" outlineLevel="0" collapsed="false">
      <c r="A740" s="22"/>
      <c r="B740" s="22"/>
      <c r="C740" s="22"/>
      <c r="D740" s="22"/>
      <c r="E740" s="9"/>
      <c r="F740" s="9"/>
      <c r="G740" s="9"/>
      <c r="H740" s="20"/>
      <c r="I740" s="22"/>
    </row>
    <row r="741" customFormat="false" ht="15" hidden="false" customHeight="true" outlineLevel="0" collapsed="false">
      <c r="A741" s="22"/>
      <c r="B741" s="22"/>
      <c r="C741" s="22"/>
      <c r="D741" s="22"/>
      <c r="E741" s="9"/>
      <c r="F741" s="9"/>
      <c r="G741" s="9"/>
      <c r="H741" s="20"/>
      <c r="I741" s="22"/>
    </row>
    <row r="742" customFormat="false" ht="15" hidden="false" customHeight="true" outlineLevel="0" collapsed="false">
      <c r="A742" s="22"/>
      <c r="B742" s="22"/>
      <c r="C742" s="22"/>
      <c r="D742" s="22"/>
      <c r="E742" s="9"/>
      <c r="F742" s="9"/>
      <c r="G742" s="9"/>
      <c r="H742" s="20"/>
      <c r="I742" s="22"/>
    </row>
    <row r="743" customFormat="false" ht="15" hidden="false" customHeight="true" outlineLevel="0" collapsed="false">
      <c r="A743" s="22"/>
      <c r="B743" s="22"/>
      <c r="C743" s="22"/>
      <c r="D743" s="22"/>
      <c r="E743" s="9"/>
      <c r="F743" s="9"/>
      <c r="G743" s="9"/>
      <c r="H743" s="20"/>
      <c r="I743" s="22"/>
    </row>
    <row r="744" customFormat="false" ht="15" hidden="false" customHeight="true" outlineLevel="0" collapsed="false">
      <c r="A744" s="22"/>
      <c r="B744" s="22"/>
      <c r="C744" s="22"/>
      <c r="D744" s="22"/>
      <c r="E744" s="9"/>
      <c r="F744" s="9"/>
      <c r="G744" s="9"/>
      <c r="H744" s="20"/>
      <c r="I744" s="22"/>
    </row>
    <row r="745" customFormat="false" ht="15" hidden="false" customHeight="true" outlineLevel="0" collapsed="false">
      <c r="A745" s="22"/>
      <c r="B745" s="22"/>
      <c r="C745" s="22"/>
      <c r="D745" s="22"/>
      <c r="E745" s="9"/>
      <c r="F745" s="9"/>
      <c r="G745" s="9"/>
      <c r="H745" s="20"/>
      <c r="I745" s="22"/>
    </row>
    <row r="746" customFormat="false" ht="15" hidden="false" customHeight="true" outlineLevel="0" collapsed="false">
      <c r="A746" s="22"/>
      <c r="B746" s="22"/>
      <c r="C746" s="22"/>
      <c r="D746" s="22"/>
      <c r="E746" s="9"/>
      <c r="F746" s="9"/>
      <c r="G746" s="9"/>
      <c r="H746" s="20"/>
      <c r="I746" s="22"/>
    </row>
    <row r="747" customFormat="false" ht="15" hidden="false" customHeight="true" outlineLevel="0" collapsed="false">
      <c r="A747" s="22"/>
      <c r="B747" s="22"/>
      <c r="C747" s="22"/>
      <c r="D747" s="22"/>
      <c r="E747" s="9"/>
      <c r="F747" s="9"/>
      <c r="G747" s="9"/>
      <c r="H747" s="20"/>
      <c r="I747" s="22"/>
    </row>
    <row r="748" customFormat="false" ht="15" hidden="false" customHeight="true" outlineLevel="0" collapsed="false">
      <c r="A748" s="22"/>
      <c r="B748" s="22"/>
      <c r="C748" s="22"/>
      <c r="D748" s="22"/>
      <c r="E748" s="9"/>
      <c r="F748" s="9"/>
      <c r="G748" s="9"/>
      <c r="H748" s="20"/>
      <c r="I748" s="22"/>
    </row>
    <row r="749" customFormat="false" ht="15" hidden="false" customHeight="true" outlineLevel="0" collapsed="false">
      <c r="A749" s="22"/>
      <c r="B749" s="22"/>
      <c r="C749" s="22"/>
      <c r="D749" s="22"/>
      <c r="E749" s="9"/>
      <c r="F749" s="9"/>
      <c r="G749" s="9"/>
      <c r="H749" s="20"/>
      <c r="I749" s="22"/>
    </row>
    <row r="750" customFormat="false" ht="15" hidden="false" customHeight="true" outlineLevel="0" collapsed="false">
      <c r="A750" s="22"/>
      <c r="B750" s="22"/>
      <c r="C750" s="22"/>
      <c r="D750" s="22"/>
      <c r="E750" s="9"/>
      <c r="F750" s="9"/>
      <c r="G750" s="9"/>
      <c r="H750" s="20"/>
      <c r="I750" s="22"/>
    </row>
    <row r="751" customFormat="false" ht="15" hidden="false" customHeight="true" outlineLevel="0" collapsed="false">
      <c r="A751" s="22"/>
      <c r="B751" s="22"/>
      <c r="C751" s="22"/>
      <c r="D751" s="22"/>
      <c r="E751" s="9"/>
      <c r="F751" s="9"/>
      <c r="G751" s="9"/>
      <c r="H751" s="20"/>
      <c r="I751" s="22"/>
    </row>
    <row r="752" customFormat="false" ht="15" hidden="false" customHeight="true" outlineLevel="0" collapsed="false">
      <c r="A752" s="22"/>
      <c r="B752" s="22"/>
      <c r="C752" s="22"/>
      <c r="D752" s="22"/>
      <c r="E752" s="9"/>
      <c r="F752" s="9"/>
      <c r="G752" s="9"/>
      <c r="H752" s="20"/>
      <c r="I752" s="22"/>
    </row>
    <row r="753" customFormat="false" ht="15" hidden="false" customHeight="true" outlineLevel="0" collapsed="false">
      <c r="A753" s="22"/>
      <c r="B753" s="22"/>
      <c r="C753" s="22"/>
      <c r="D753" s="22"/>
      <c r="E753" s="9"/>
      <c r="F753" s="9"/>
      <c r="G753" s="9"/>
      <c r="H753" s="20"/>
      <c r="I753" s="22"/>
    </row>
    <row r="754" customFormat="false" ht="15" hidden="false" customHeight="true" outlineLevel="0" collapsed="false">
      <c r="A754" s="22"/>
      <c r="B754" s="22"/>
      <c r="C754" s="22"/>
      <c r="D754" s="22"/>
      <c r="E754" s="9"/>
      <c r="F754" s="9"/>
      <c r="G754" s="9"/>
      <c r="H754" s="20"/>
      <c r="I754" s="22"/>
    </row>
    <row r="755" customFormat="false" ht="15" hidden="false" customHeight="true" outlineLevel="0" collapsed="false">
      <c r="A755" s="22"/>
      <c r="B755" s="22"/>
      <c r="C755" s="22"/>
      <c r="D755" s="22"/>
      <c r="E755" s="9"/>
      <c r="F755" s="9"/>
      <c r="G755" s="9"/>
      <c r="H755" s="20"/>
      <c r="I755" s="22"/>
    </row>
    <row r="756" customFormat="false" ht="15" hidden="false" customHeight="true" outlineLevel="0" collapsed="false">
      <c r="A756" s="22"/>
      <c r="B756" s="22"/>
      <c r="C756" s="22"/>
      <c r="D756" s="22"/>
      <c r="E756" s="9"/>
      <c r="F756" s="9"/>
      <c r="G756" s="9"/>
      <c r="H756" s="20"/>
      <c r="I756" s="22"/>
    </row>
    <row r="757" customFormat="false" ht="15" hidden="false" customHeight="true" outlineLevel="0" collapsed="false">
      <c r="A757" s="22"/>
      <c r="B757" s="22"/>
      <c r="C757" s="22"/>
      <c r="D757" s="22"/>
      <c r="E757" s="9"/>
      <c r="F757" s="9"/>
      <c r="G757" s="9"/>
      <c r="H757" s="20"/>
      <c r="I757" s="22"/>
    </row>
    <row r="758" customFormat="false" ht="15" hidden="false" customHeight="true" outlineLevel="0" collapsed="false">
      <c r="A758" s="22"/>
      <c r="B758" s="22"/>
      <c r="C758" s="22"/>
      <c r="D758" s="22"/>
      <c r="E758" s="9"/>
      <c r="F758" s="9"/>
      <c r="G758" s="9"/>
      <c r="H758" s="20"/>
      <c r="I758" s="22"/>
    </row>
    <row r="759" customFormat="false" ht="15" hidden="false" customHeight="true" outlineLevel="0" collapsed="false">
      <c r="A759" s="22"/>
      <c r="B759" s="22"/>
      <c r="C759" s="22"/>
      <c r="D759" s="22"/>
      <c r="E759" s="9"/>
      <c r="F759" s="9"/>
      <c r="G759" s="9"/>
      <c r="H759" s="20"/>
      <c r="I759" s="22"/>
    </row>
    <row r="760" customFormat="false" ht="15" hidden="false" customHeight="true" outlineLevel="0" collapsed="false">
      <c r="A760" s="22"/>
      <c r="B760" s="22"/>
      <c r="C760" s="22"/>
      <c r="D760" s="22"/>
      <c r="E760" s="9"/>
      <c r="F760" s="9"/>
      <c r="G760" s="9"/>
      <c r="H760" s="20"/>
      <c r="I760" s="22"/>
    </row>
    <row r="761" customFormat="false" ht="15" hidden="false" customHeight="true" outlineLevel="0" collapsed="false">
      <c r="A761" s="22"/>
      <c r="B761" s="22"/>
      <c r="C761" s="22"/>
      <c r="D761" s="22"/>
      <c r="E761" s="9"/>
      <c r="F761" s="9"/>
      <c r="G761" s="9"/>
      <c r="H761" s="20"/>
      <c r="I761" s="22"/>
    </row>
    <row r="762" customFormat="false" ht="15" hidden="false" customHeight="true" outlineLevel="0" collapsed="false">
      <c r="A762" s="22"/>
      <c r="B762" s="22"/>
      <c r="C762" s="22"/>
      <c r="D762" s="22"/>
      <c r="E762" s="9"/>
      <c r="F762" s="9"/>
      <c r="G762" s="9"/>
      <c r="H762" s="20"/>
      <c r="I762" s="22"/>
    </row>
    <row r="763" customFormat="false" ht="15" hidden="false" customHeight="true" outlineLevel="0" collapsed="false">
      <c r="A763" s="22"/>
      <c r="B763" s="22"/>
      <c r="C763" s="22"/>
      <c r="D763" s="22"/>
      <c r="E763" s="9"/>
      <c r="F763" s="9"/>
      <c r="G763" s="9"/>
      <c r="H763" s="20"/>
      <c r="I763" s="22"/>
    </row>
    <row r="764" customFormat="false" ht="15" hidden="false" customHeight="true" outlineLevel="0" collapsed="false">
      <c r="A764" s="22"/>
      <c r="B764" s="22"/>
      <c r="C764" s="22"/>
      <c r="D764" s="22"/>
      <c r="E764" s="9"/>
      <c r="F764" s="9"/>
      <c r="G764" s="9"/>
      <c r="H764" s="20"/>
      <c r="I764" s="22"/>
    </row>
    <row r="765" customFormat="false" ht="15" hidden="false" customHeight="true" outlineLevel="0" collapsed="false">
      <c r="A765" s="22"/>
      <c r="B765" s="22"/>
      <c r="C765" s="22"/>
      <c r="D765" s="22"/>
      <c r="E765" s="9"/>
      <c r="F765" s="9"/>
      <c r="G765" s="9"/>
      <c r="H765" s="20"/>
      <c r="I765" s="22"/>
    </row>
    <row r="766" customFormat="false" ht="15" hidden="false" customHeight="true" outlineLevel="0" collapsed="false">
      <c r="A766" s="22"/>
      <c r="B766" s="22"/>
      <c r="C766" s="22"/>
      <c r="D766" s="22"/>
      <c r="E766" s="9"/>
      <c r="F766" s="9"/>
      <c r="G766" s="9"/>
      <c r="H766" s="20"/>
      <c r="I766" s="22"/>
    </row>
    <row r="767" customFormat="false" ht="15" hidden="false" customHeight="true" outlineLevel="0" collapsed="false">
      <c r="A767" s="22"/>
      <c r="B767" s="22"/>
      <c r="C767" s="22"/>
      <c r="D767" s="22"/>
      <c r="E767" s="9"/>
      <c r="F767" s="9"/>
      <c r="G767" s="9"/>
      <c r="H767" s="20"/>
      <c r="I767" s="22"/>
    </row>
    <row r="768" customFormat="false" ht="15" hidden="false" customHeight="true" outlineLevel="0" collapsed="false">
      <c r="A768" s="22"/>
      <c r="B768" s="22"/>
      <c r="C768" s="22"/>
      <c r="D768" s="22"/>
      <c r="E768" s="9"/>
      <c r="F768" s="9"/>
      <c r="G768" s="9"/>
      <c r="H768" s="20"/>
      <c r="I768" s="22"/>
    </row>
    <row r="769" customFormat="false" ht="15" hidden="false" customHeight="true" outlineLevel="0" collapsed="false">
      <c r="A769" s="22"/>
      <c r="B769" s="22"/>
      <c r="C769" s="22"/>
      <c r="D769" s="22"/>
      <c r="E769" s="9"/>
      <c r="F769" s="9"/>
      <c r="G769" s="9"/>
      <c r="H769" s="20"/>
      <c r="I769" s="22"/>
    </row>
    <row r="770" customFormat="false" ht="15" hidden="false" customHeight="true" outlineLevel="0" collapsed="false">
      <c r="A770" s="22"/>
      <c r="B770" s="22"/>
      <c r="C770" s="22"/>
      <c r="D770" s="22"/>
      <c r="E770" s="9"/>
      <c r="F770" s="9"/>
      <c r="G770" s="9"/>
      <c r="H770" s="20"/>
      <c r="I770" s="22"/>
    </row>
    <row r="771" customFormat="false" ht="15" hidden="false" customHeight="true" outlineLevel="0" collapsed="false">
      <c r="A771" s="22"/>
      <c r="B771" s="22"/>
      <c r="C771" s="22"/>
      <c r="D771" s="22"/>
      <c r="E771" s="9"/>
      <c r="F771" s="9"/>
      <c r="G771" s="9"/>
      <c r="H771" s="20"/>
      <c r="I771" s="22"/>
    </row>
    <row r="772" customFormat="false" ht="15" hidden="false" customHeight="true" outlineLevel="0" collapsed="false">
      <c r="A772" s="22"/>
      <c r="B772" s="22"/>
      <c r="C772" s="22"/>
      <c r="D772" s="22"/>
      <c r="E772" s="9"/>
      <c r="F772" s="9"/>
      <c r="G772" s="9"/>
      <c r="H772" s="20"/>
      <c r="I772" s="22"/>
    </row>
    <row r="773" customFormat="false" ht="15" hidden="false" customHeight="true" outlineLevel="0" collapsed="false">
      <c r="A773" s="22"/>
      <c r="B773" s="22"/>
      <c r="C773" s="22"/>
      <c r="D773" s="22"/>
      <c r="E773" s="9"/>
      <c r="F773" s="9"/>
      <c r="G773" s="9"/>
      <c r="H773" s="20"/>
      <c r="I773" s="22"/>
    </row>
    <row r="774" customFormat="false" ht="15" hidden="false" customHeight="true" outlineLevel="0" collapsed="false">
      <c r="A774" s="22"/>
      <c r="B774" s="22"/>
      <c r="C774" s="22"/>
      <c r="D774" s="22"/>
      <c r="E774" s="9"/>
      <c r="F774" s="9"/>
      <c r="G774" s="9"/>
      <c r="H774" s="20"/>
      <c r="I774" s="22"/>
    </row>
    <row r="775" customFormat="false" ht="15" hidden="false" customHeight="true" outlineLevel="0" collapsed="false">
      <c r="A775" s="22"/>
      <c r="B775" s="22"/>
      <c r="C775" s="22"/>
      <c r="D775" s="22"/>
      <c r="E775" s="9"/>
      <c r="F775" s="9"/>
      <c r="G775" s="9"/>
      <c r="H775" s="20"/>
      <c r="I775" s="22"/>
    </row>
    <row r="776" customFormat="false" ht="15" hidden="false" customHeight="true" outlineLevel="0" collapsed="false">
      <c r="A776" s="22"/>
      <c r="B776" s="22"/>
      <c r="C776" s="22"/>
      <c r="D776" s="22"/>
      <c r="E776" s="9"/>
      <c r="F776" s="9"/>
      <c r="G776" s="9"/>
      <c r="H776" s="20"/>
      <c r="I776" s="22"/>
    </row>
    <row r="777" customFormat="false" ht="15" hidden="false" customHeight="true" outlineLevel="0" collapsed="false">
      <c r="A777" s="22"/>
      <c r="B777" s="22"/>
      <c r="C777" s="22"/>
      <c r="D777" s="22"/>
      <c r="E777" s="9"/>
      <c r="F777" s="9"/>
      <c r="G777" s="9"/>
      <c r="H777" s="20"/>
      <c r="I777" s="22"/>
    </row>
    <row r="778" customFormat="false" ht="15" hidden="false" customHeight="true" outlineLevel="0" collapsed="false">
      <c r="A778" s="22"/>
      <c r="B778" s="22"/>
      <c r="C778" s="22"/>
      <c r="D778" s="22"/>
      <c r="E778" s="9"/>
      <c r="F778" s="9"/>
      <c r="G778" s="9"/>
      <c r="H778" s="20"/>
      <c r="I778" s="22"/>
    </row>
    <row r="779" customFormat="false" ht="15" hidden="false" customHeight="true" outlineLevel="0" collapsed="false">
      <c r="A779" s="22"/>
      <c r="B779" s="22"/>
      <c r="C779" s="22"/>
      <c r="D779" s="22"/>
      <c r="E779" s="9"/>
      <c r="F779" s="9"/>
      <c r="G779" s="9"/>
      <c r="H779" s="20"/>
      <c r="I779" s="22"/>
    </row>
    <row r="780" customFormat="false" ht="15" hidden="false" customHeight="true" outlineLevel="0" collapsed="false">
      <c r="A780" s="22"/>
      <c r="B780" s="22"/>
      <c r="C780" s="22"/>
      <c r="D780" s="22"/>
      <c r="E780" s="9"/>
      <c r="F780" s="9"/>
      <c r="G780" s="9"/>
      <c r="H780" s="20"/>
      <c r="I780" s="22"/>
    </row>
    <row r="781" customFormat="false" ht="15" hidden="false" customHeight="true" outlineLevel="0" collapsed="false">
      <c r="A781" s="22"/>
      <c r="B781" s="22"/>
      <c r="C781" s="22"/>
      <c r="D781" s="22"/>
      <c r="E781" s="9"/>
      <c r="F781" s="9"/>
      <c r="G781" s="9"/>
      <c r="H781" s="20"/>
      <c r="I781" s="22"/>
    </row>
    <row r="782" customFormat="false" ht="15" hidden="false" customHeight="true" outlineLevel="0" collapsed="false">
      <c r="A782" s="22"/>
      <c r="B782" s="22"/>
      <c r="C782" s="22"/>
      <c r="D782" s="22"/>
      <c r="E782" s="9"/>
      <c r="F782" s="9"/>
      <c r="G782" s="9"/>
      <c r="H782" s="20"/>
      <c r="I782" s="22"/>
    </row>
    <row r="783" customFormat="false" ht="15" hidden="false" customHeight="true" outlineLevel="0" collapsed="false">
      <c r="A783" s="22"/>
      <c r="B783" s="22"/>
      <c r="C783" s="22"/>
      <c r="D783" s="22"/>
      <c r="E783" s="9"/>
      <c r="F783" s="9"/>
      <c r="G783" s="9"/>
      <c r="H783" s="20"/>
      <c r="I783" s="22"/>
    </row>
    <row r="784" customFormat="false" ht="15" hidden="false" customHeight="true" outlineLevel="0" collapsed="false">
      <c r="A784" s="22"/>
      <c r="B784" s="22"/>
      <c r="C784" s="22"/>
      <c r="D784" s="22"/>
      <c r="E784" s="9"/>
      <c r="F784" s="9"/>
      <c r="G784" s="9"/>
      <c r="H784" s="20"/>
      <c r="I784" s="22"/>
    </row>
    <row r="785" customFormat="false" ht="15" hidden="false" customHeight="true" outlineLevel="0" collapsed="false">
      <c r="A785" s="22"/>
      <c r="B785" s="22"/>
      <c r="C785" s="22"/>
      <c r="D785" s="22"/>
      <c r="E785" s="9"/>
      <c r="F785" s="9"/>
      <c r="G785" s="9"/>
      <c r="H785" s="20"/>
      <c r="I785" s="22"/>
    </row>
    <row r="786" customFormat="false" ht="15" hidden="false" customHeight="true" outlineLevel="0" collapsed="false">
      <c r="A786" s="22"/>
      <c r="B786" s="22"/>
      <c r="C786" s="22"/>
      <c r="D786" s="22"/>
      <c r="E786" s="9"/>
      <c r="F786" s="9"/>
      <c r="G786" s="9"/>
      <c r="H786" s="20"/>
      <c r="I786" s="22"/>
    </row>
    <row r="787" customFormat="false" ht="15" hidden="false" customHeight="true" outlineLevel="0" collapsed="false">
      <c r="A787" s="22"/>
      <c r="B787" s="22"/>
      <c r="C787" s="22"/>
      <c r="D787" s="22"/>
      <c r="E787" s="9"/>
      <c r="F787" s="9"/>
      <c r="G787" s="9"/>
      <c r="H787" s="20"/>
      <c r="I787" s="22"/>
    </row>
    <row r="788" customFormat="false" ht="15" hidden="false" customHeight="true" outlineLevel="0" collapsed="false">
      <c r="A788" s="22"/>
      <c r="B788" s="22"/>
      <c r="C788" s="22"/>
      <c r="D788" s="22"/>
      <c r="E788" s="9"/>
      <c r="F788" s="9"/>
      <c r="G788" s="9"/>
      <c r="H788" s="20"/>
      <c r="I788" s="22"/>
    </row>
    <row r="789" customFormat="false" ht="15" hidden="false" customHeight="true" outlineLevel="0" collapsed="false">
      <c r="A789" s="22"/>
      <c r="B789" s="22"/>
      <c r="C789" s="22"/>
      <c r="D789" s="22"/>
      <c r="E789" s="9"/>
      <c r="F789" s="9"/>
      <c r="G789" s="9"/>
      <c r="H789" s="20"/>
      <c r="I789" s="22"/>
    </row>
    <row r="790" customFormat="false" ht="15" hidden="false" customHeight="true" outlineLevel="0" collapsed="false">
      <c r="A790" s="22"/>
      <c r="B790" s="22"/>
      <c r="C790" s="22"/>
      <c r="D790" s="22"/>
      <c r="E790" s="9"/>
      <c r="F790" s="9"/>
      <c r="G790" s="9"/>
      <c r="H790" s="20"/>
      <c r="I790" s="22"/>
    </row>
    <row r="791" customFormat="false" ht="15" hidden="false" customHeight="true" outlineLevel="0" collapsed="false">
      <c r="A791" s="22"/>
      <c r="B791" s="22"/>
      <c r="C791" s="22"/>
      <c r="D791" s="22"/>
      <c r="E791" s="9"/>
      <c r="F791" s="9"/>
      <c r="G791" s="9"/>
      <c r="H791" s="20"/>
      <c r="I791" s="22"/>
    </row>
    <row r="792" customFormat="false" ht="15" hidden="false" customHeight="true" outlineLevel="0" collapsed="false">
      <c r="A792" s="22"/>
      <c r="B792" s="22"/>
      <c r="C792" s="22"/>
      <c r="D792" s="22"/>
      <c r="E792" s="9"/>
      <c r="F792" s="9"/>
      <c r="G792" s="9"/>
      <c r="H792" s="20"/>
      <c r="I792" s="22"/>
    </row>
    <row r="793" customFormat="false" ht="15" hidden="false" customHeight="true" outlineLevel="0" collapsed="false">
      <c r="A793" s="22"/>
      <c r="B793" s="22"/>
      <c r="C793" s="22"/>
      <c r="D793" s="22"/>
      <c r="E793" s="9"/>
      <c r="F793" s="9"/>
      <c r="G793" s="9"/>
      <c r="H793" s="20"/>
      <c r="I793" s="22"/>
    </row>
    <row r="794" customFormat="false" ht="15" hidden="false" customHeight="true" outlineLevel="0" collapsed="false">
      <c r="A794" s="22"/>
      <c r="B794" s="22"/>
      <c r="C794" s="22"/>
      <c r="D794" s="22"/>
      <c r="E794" s="9"/>
      <c r="F794" s="9"/>
      <c r="G794" s="9"/>
      <c r="H794" s="20"/>
      <c r="I794" s="22"/>
    </row>
    <row r="795" customFormat="false" ht="15" hidden="false" customHeight="true" outlineLevel="0" collapsed="false">
      <c r="A795" s="22"/>
      <c r="B795" s="22"/>
      <c r="C795" s="22"/>
      <c r="D795" s="22"/>
      <c r="E795" s="9"/>
      <c r="F795" s="9"/>
      <c r="G795" s="9"/>
      <c r="H795" s="20"/>
      <c r="I795" s="22"/>
    </row>
    <row r="796" customFormat="false" ht="15" hidden="false" customHeight="true" outlineLevel="0" collapsed="false">
      <c r="A796" s="22"/>
      <c r="B796" s="22"/>
      <c r="C796" s="22"/>
      <c r="D796" s="22"/>
      <c r="E796" s="9"/>
      <c r="F796" s="9"/>
      <c r="G796" s="9"/>
      <c r="H796" s="20"/>
      <c r="I796" s="22"/>
    </row>
    <row r="797" customFormat="false" ht="15" hidden="false" customHeight="true" outlineLevel="0" collapsed="false">
      <c r="A797" s="22"/>
      <c r="B797" s="22"/>
      <c r="C797" s="22"/>
      <c r="D797" s="22"/>
      <c r="E797" s="9"/>
      <c r="F797" s="9"/>
      <c r="G797" s="9"/>
      <c r="H797" s="20"/>
      <c r="I797" s="22"/>
    </row>
    <row r="798" customFormat="false" ht="15" hidden="false" customHeight="true" outlineLevel="0" collapsed="false">
      <c r="A798" s="22"/>
      <c r="B798" s="22"/>
      <c r="C798" s="22"/>
      <c r="D798" s="22"/>
      <c r="E798" s="9"/>
      <c r="F798" s="9"/>
      <c r="G798" s="9"/>
      <c r="H798" s="20"/>
      <c r="I798" s="22"/>
    </row>
    <row r="799" customFormat="false" ht="15" hidden="false" customHeight="true" outlineLevel="0" collapsed="false">
      <c r="A799" s="22"/>
      <c r="B799" s="22"/>
      <c r="C799" s="22"/>
      <c r="D799" s="22"/>
      <c r="E799" s="9"/>
      <c r="F799" s="9"/>
      <c r="G799" s="9"/>
      <c r="H799" s="20"/>
      <c r="I799" s="22"/>
    </row>
    <row r="800" customFormat="false" ht="15" hidden="false" customHeight="true" outlineLevel="0" collapsed="false">
      <c r="A800" s="22"/>
      <c r="B800" s="22"/>
      <c r="C800" s="22"/>
      <c r="D800" s="22"/>
      <c r="E800" s="9"/>
      <c r="F800" s="9"/>
      <c r="G800" s="9"/>
      <c r="H800" s="20"/>
      <c r="I800" s="22"/>
    </row>
    <row r="801" customFormat="false" ht="15" hidden="false" customHeight="true" outlineLevel="0" collapsed="false">
      <c r="A801" s="22"/>
      <c r="B801" s="22"/>
      <c r="C801" s="22"/>
      <c r="D801" s="22"/>
      <c r="E801" s="9"/>
      <c r="F801" s="9"/>
      <c r="G801" s="9"/>
      <c r="H801" s="20"/>
      <c r="I801" s="22"/>
    </row>
    <row r="802" customFormat="false" ht="15" hidden="false" customHeight="true" outlineLevel="0" collapsed="false">
      <c r="A802" s="22"/>
      <c r="B802" s="22"/>
      <c r="C802" s="22"/>
      <c r="D802" s="22"/>
      <c r="E802" s="9"/>
      <c r="F802" s="9"/>
      <c r="G802" s="9"/>
      <c r="H802" s="20"/>
      <c r="I802" s="22"/>
    </row>
    <row r="803" customFormat="false" ht="15" hidden="false" customHeight="true" outlineLevel="0" collapsed="false">
      <c r="A803" s="22"/>
      <c r="B803" s="22"/>
      <c r="C803" s="22"/>
      <c r="D803" s="22"/>
      <c r="E803" s="9"/>
      <c r="F803" s="9"/>
      <c r="G803" s="9"/>
      <c r="H803" s="20"/>
      <c r="I803" s="22"/>
    </row>
    <row r="804" customFormat="false" ht="15" hidden="false" customHeight="true" outlineLevel="0" collapsed="false">
      <c r="A804" s="22"/>
      <c r="B804" s="22"/>
      <c r="C804" s="22"/>
      <c r="D804" s="22"/>
      <c r="E804" s="9"/>
      <c r="F804" s="9"/>
      <c r="G804" s="9"/>
      <c r="H804" s="20"/>
      <c r="I804" s="22"/>
    </row>
    <row r="805" customFormat="false" ht="15" hidden="false" customHeight="true" outlineLevel="0" collapsed="false">
      <c r="A805" s="22"/>
      <c r="B805" s="22"/>
      <c r="C805" s="22"/>
      <c r="D805" s="22"/>
      <c r="E805" s="9"/>
      <c r="F805" s="9"/>
      <c r="G805" s="9"/>
      <c r="H805" s="20"/>
      <c r="I805" s="22"/>
    </row>
    <row r="806" customFormat="false" ht="15" hidden="false" customHeight="true" outlineLevel="0" collapsed="false">
      <c r="A806" s="22"/>
      <c r="B806" s="22"/>
      <c r="C806" s="22"/>
      <c r="D806" s="22"/>
      <c r="E806" s="9"/>
      <c r="F806" s="9"/>
      <c r="G806" s="9"/>
      <c r="H806" s="20"/>
      <c r="I806" s="22"/>
    </row>
    <row r="807" customFormat="false" ht="15" hidden="false" customHeight="true" outlineLevel="0" collapsed="false">
      <c r="A807" s="22"/>
      <c r="B807" s="22"/>
      <c r="C807" s="22"/>
      <c r="D807" s="22"/>
      <c r="E807" s="9"/>
      <c r="F807" s="9"/>
      <c r="G807" s="9"/>
      <c r="H807" s="20"/>
      <c r="I807" s="22"/>
    </row>
    <row r="808" customFormat="false" ht="15" hidden="false" customHeight="true" outlineLevel="0" collapsed="false">
      <c r="A808" s="22"/>
      <c r="B808" s="22"/>
      <c r="C808" s="22"/>
      <c r="D808" s="22"/>
      <c r="E808" s="9"/>
      <c r="F808" s="9"/>
      <c r="G808" s="9"/>
      <c r="H808" s="20"/>
      <c r="I808" s="22"/>
    </row>
    <row r="809" customFormat="false" ht="15" hidden="false" customHeight="true" outlineLevel="0" collapsed="false">
      <c r="A809" s="22"/>
      <c r="B809" s="22"/>
      <c r="C809" s="22"/>
      <c r="D809" s="22"/>
      <c r="E809" s="9"/>
      <c r="F809" s="9"/>
      <c r="G809" s="9"/>
      <c r="H809" s="20"/>
      <c r="I809" s="22"/>
    </row>
    <row r="810" customFormat="false" ht="15" hidden="false" customHeight="true" outlineLevel="0" collapsed="false">
      <c r="A810" s="22"/>
      <c r="B810" s="22"/>
      <c r="C810" s="22"/>
      <c r="D810" s="22"/>
      <c r="E810" s="9"/>
      <c r="F810" s="9"/>
      <c r="G810" s="9"/>
      <c r="H810" s="20"/>
      <c r="I810" s="22"/>
    </row>
    <row r="811" customFormat="false" ht="15" hidden="false" customHeight="true" outlineLevel="0" collapsed="false">
      <c r="A811" s="22"/>
      <c r="B811" s="22"/>
      <c r="C811" s="22"/>
      <c r="D811" s="22"/>
      <c r="E811" s="9"/>
      <c r="F811" s="9"/>
      <c r="G811" s="9"/>
      <c r="H811" s="20"/>
      <c r="I811" s="22"/>
    </row>
    <row r="812" customFormat="false" ht="15" hidden="false" customHeight="true" outlineLevel="0" collapsed="false">
      <c r="A812" s="22"/>
      <c r="B812" s="22"/>
      <c r="C812" s="22"/>
      <c r="D812" s="22"/>
      <c r="E812" s="9"/>
      <c r="F812" s="9"/>
      <c r="G812" s="9"/>
      <c r="H812" s="20"/>
      <c r="I812" s="22"/>
    </row>
    <row r="813" customFormat="false" ht="15" hidden="false" customHeight="true" outlineLevel="0" collapsed="false">
      <c r="A813" s="22"/>
      <c r="B813" s="22"/>
      <c r="C813" s="22"/>
      <c r="D813" s="22"/>
      <c r="E813" s="9"/>
      <c r="F813" s="9"/>
      <c r="G813" s="9"/>
      <c r="H813" s="20"/>
      <c r="I813" s="22"/>
    </row>
    <row r="814" customFormat="false" ht="15" hidden="false" customHeight="true" outlineLevel="0" collapsed="false">
      <c r="A814" s="22"/>
      <c r="B814" s="22"/>
      <c r="C814" s="22"/>
      <c r="D814" s="22"/>
      <c r="E814" s="9"/>
      <c r="F814" s="9"/>
      <c r="G814" s="9"/>
      <c r="H814" s="20"/>
      <c r="I814" s="22"/>
    </row>
    <row r="815" customFormat="false" ht="15" hidden="false" customHeight="true" outlineLevel="0" collapsed="false">
      <c r="A815" s="22"/>
      <c r="B815" s="22"/>
      <c r="C815" s="22"/>
      <c r="D815" s="22"/>
      <c r="E815" s="9"/>
      <c r="F815" s="9"/>
      <c r="G815" s="9"/>
      <c r="H815" s="20"/>
      <c r="I815" s="22"/>
    </row>
    <row r="816" customFormat="false" ht="15" hidden="false" customHeight="true" outlineLevel="0" collapsed="false">
      <c r="A816" s="22"/>
      <c r="B816" s="22"/>
      <c r="C816" s="22"/>
      <c r="D816" s="22"/>
      <c r="E816" s="9"/>
      <c r="F816" s="9"/>
      <c r="G816" s="9"/>
      <c r="H816" s="20"/>
      <c r="I816" s="22"/>
    </row>
    <row r="817" customFormat="false" ht="15" hidden="false" customHeight="true" outlineLevel="0" collapsed="false">
      <c r="A817" s="22"/>
      <c r="B817" s="22"/>
      <c r="C817" s="22"/>
      <c r="D817" s="22"/>
      <c r="E817" s="9"/>
      <c r="F817" s="9"/>
      <c r="G817" s="9"/>
      <c r="H817" s="20"/>
      <c r="I817" s="22"/>
    </row>
    <row r="818" customFormat="false" ht="15" hidden="false" customHeight="true" outlineLevel="0" collapsed="false">
      <c r="A818" s="22"/>
      <c r="B818" s="22"/>
      <c r="C818" s="22"/>
      <c r="D818" s="22"/>
      <c r="E818" s="9"/>
      <c r="F818" s="9"/>
      <c r="G818" s="9"/>
      <c r="H818" s="20"/>
      <c r="I818" s="22"/>
    </row>
    <row r="819" customFormat="false" ht="15" hidden="false" customHeight="true" outlineLevel="0" collapsed="false">
      <c r="A819" s="22"/>
      <c r="B819" s="22"/>
      <c r="C819" s="22"/>
      <c r="D819" s="22"/>
      <c r="E819" s="9"/>
      <c r="F819" s="9"/>
      <c r="G819" s="9"/>
      <c r="H819" s="20"/>
      <c r="I819" s="22"/>
    </row>
    <row r="820" customFormat="false" ht="15" hidden="false" customHeight="true" outlineLevel="0" collapsed="false">
      <c r="A820" s="22"/>
      <c r="B820" s="22"/>
      <c r="C820" s="22"/>
      <c r="D820" s="22"/>
      <c r="E820" s="9"/>
      <c r="F820" s="9"/>
      <c r="G820" s="9"/>
      <c r="H820" s="20"/>
      <c r="I820" s="22"/>
    </row>
    <row r="821" customFormat="false" ht="15" hidden="false" customHeight="true" outlineLevel="0" collapsed="false">
      <c r="A821" s="22"/>
      <c r="B821" s="22"/>
      <c r="C821" s="22"/>
      <c r="D821" s="22"/>
      <c r="E821" s="9"/>
      <c r="F821" s="9"/>
      <c r="G821" s="9"/>
      <c r="H821" s="20"/>
      <c r="I821" s="22"/>
    </row>
    <row r="822" customFormat="false" ht="15" hidden="false" customHeight="true" outlineLevel="0" collapsed="false">
      <c r="A822" s="22"/>
      <c r="B822" s="22"/>
      <c r="C822" s="22"/>
      <c r="D822" s="22"/>
      <c r="E822" s="9"/>
      <c r="F822" s="9"/>
      <c r="G822" s="9"/>
      <c r="H822" s="20"/>
      <c r="I822" s="22"/>
    </row>
    <row r="823" customFormat="false" ht="15" hidden="false" customHeight="true" outlineLevel="0" collapsed="false">
      <c r="A823" s="22"/>
      <c r="B823" s="22"/>
      <c r="C823" s="22"/>
      <c r="D823" s="22"/>
      <c r="E823" s="9"/>
      <c r="F823" s="9"/>
      <c r="G823" s="9"/>
      <c r="H823" s="20"/>
      <c r="I823" s="22"/>
    </row>
    <row r="824" customFormat="false" ht="15" hidden="false" customHeight="true" outlineLevel="0" collapsed="false">
      <c r="A824" s="22"/>
      <c r="B824" s="22"/>
      <c r="C824" s="22"/>
      <c r="D824" s="22"/>
      <c r="E824" s="9"/>
      <c r="F824" s="9"/>
      <c r="G824" s="9"/>
      <c r="H824" s="20"/>
      <c r="I824" s="22"/>
    </row>
    <row r="825" customFormat="false" ht="15" hidden="false" customHeight="true" outlineLevel="0" collapsed="false">
      <c r="A825" s="22"/>
      <c r="B825" s="22"/>
      <c r="C825" s="22"/>
      <c r="D825" s="22"/>
      <c r="E825" s="9"/>
      <c r="F825" s="9"/>
      <c r="G825" s="9"/>
      <c r="H825" s="20"/>
      <c r="I825" s="22"/>
    </row>
    <row r="826" customFormat="false" ht="15" hidden="false" customHeight="true" outlineLevel="0" collapsed="false">
      <c r="A826" s="22"/>
      <c r="B826" s="22"/>
      <c r="C826" s="22"/>
      <c r="D826" s="22"/>
      <c r="E826" s="9"/>
      <c r="F826" s="9"/>
      <c r="G826" s="9"/>
      <c r="H826" s="20"/>
      <c r="I826" s="22"/>
    </row>
    <row r="827" customFormat="false" ht="15" hidden="false" customHeight="true" outlineLevel="0" collapsed="false">
      <c r="A827" s="22"/>
      <c r="B827" s="22"/>
      <c r="C827" s="22"/>
      <c r="D827" s="22"/>
      <c r="E827" s="9"/>
      <c r="F827" s="9"/>
      <c r="G827" s="9"/>
      <c r="H827" s="20"/>
      <c r="I827" s="22"/>
    </row>
    <row r="828" customFormat="false" ht="15" hidden="false" customHeight="true" outlineLevel="0" collapsed="false">
      <c r="A828" s="22"/>
      <c r="B828" s="22"/>
      <c r="C828" s="22"/>
      <c r="D828" s="22"/>
      <c r="E828" s="9"/>
      <c r="F828" s="9"/>
      <c r="G828" s="9"/>
      <c r="H828" s="20"/>
      <c r="I828" s="22"/>
    </row>
    <row r="829" customFormat="false" ht="15" hidden="false" customHeight="true" outlineLevel="0" collapsed="false">
      <c r="A829" s="22"/>
      <c r="B829" s="22"/>
      <c r="C829" s="22"/>
      <c r="D829" s="22"/>
      <c r="E829" s="9"/>
      <c r="F829" s="9"/>
      <c r="G829" s="9"/>
      <c r="H829" s="20"/>
      <c r="I829" s="22"/>
    </row>
    <row r="830" customFormat="false" ht="15" hidden="false" customHeight="true" outlineLevel="0" collapsed="false">
      <c r="A830" s="22"/>
      <c r="B830" s="22"/>
      <c r="C830" s="22"/>
      <c r="D830" s="22"/>
      <c r="E830" s="9"/>
      <c r="F830" s="9"/>
      <c r="G830" s="9"/>
      <c r="H830" s="20"/>
      <c r="I830" s="22"/>
    </row>
    <row r="831" customFormat="false" ht="15" hidden="false" customHeight="true" outlineLevel="0" collapsed="false">
      <c r="A831" s="22"/>
      <c r="B831" s="22"/>
      <c r="C831" s="22"/>
      <c r="D831" s="22"/>
      <c r="E831" s="9"/>
      <c r="F831" s="9"/>
      <c r="G831" s="9"/>
      <c r="H831" s="20"/>
      <c r="I831" s="22"/>
    </row>
    <row r="832" customFormat="false" ht="15" hidden="false" customHeight="true" outlineLevel="0" collapsed="false">
      <c r="A832" s="22"/>
      <c r="B832" s="22"/>
      <c r="C832" s="22"/>
      <c r="D832" s="22"/>
      <c r="E832" s="9"/>
      <c r="F832" s="9"/>
      <c r="G832" s="9"/>
      <c r="H832" s="20"/>
      <c r="I832" s="22"/>
    </row>
    <row r="833" customFormat="false" ht="15" hidden="false" customHeight="true" outlineLevel="0" collapsed="false">
      <c r="A833" s="22"/>
      <c r="B833" s="22"/>
      <c r="C833" s="22"/>
      <c r="D833" s="22"/>
      <c r="E833" s="9"/>
      <c r="F833" s="9"/>
      <c r="G833" s="9"/>
      <c r="H833" s="20"/>
      <c r="I833" s="22"/>
    </row>
    <row r="834" customFormat="false" ht="15" hidden="false" customHeight="true" outlineLevel="0" collapsed="false">
      <c r="A834" s="22"/>
      <c r="B834" s="22"/>
      <c r="C834" s="22"/>
      <c r="D834" s="22"/>
      <c r="E834" s="9"/>
      <c r="F834" s="9"/>
      <c r="G834" s="9"/>
      <c r="H834" s="20"/>
      <c r="I834" s="22"/>
    </row>
    <row r="835" customFormat="false" ht="15" hidden="false" customHeight="true" outlineLevel="0" collapsed="false">
      <c r="A835" s="22"/>
      <c r="B835" s="22"/>
      <c r="C835" s="22"/>
      <c r="D835" s="22"/>
      <c r="E835" s="9"/>
      <c r="F835" s="9"/>
      <c r="G835" s="9"/>
      <c r="H835" s="20"/>
      <c r="I835" s="22"/>
    </row>
    <row r="836" customFormat="false" ht="15" hidden="false" customHeight="true" outlineLevel="0" collapsed="false">
      <c r="A836" s="22"/>
      <c r="B836" s="22"/>
      <c r="C836" s="22"/>
      <c r="D836" s="22"/>
      <c r="E836" s="9"/>
      <c r="F836" s="9"/>
      <c r="G836" s="9"/>
      <c r="H836" s="20"/>
      <c r="I836" s="22"/>
    </row>
    <row r="837" customFormat="false" ht="15" hidden="false" customHeight="true" outlineLevel="0" collapsed="false">
      <c r="A837" s="22"/>
      <c r="B837" s="22"/>
      <c r="C837" s="22"/>
      <c r="D837" s="22"/>
      <c r="E837" s="9"/>
      <c r="F837" s="9"/>
      <c r="G837" s="9"/>
      <c r="H837" s="20"/>
      <c r="I837" s="22"/>
    </row>
    <row r="838" customFormat="false" ht="15" hidden="false" customHeight="true" outlineLevel="0" collapsed="false">
      <c r="A838" s="22"/>
      <c r="B838" s="22"/>
      <c r="C838" s="22"/>
      <c r="D838" s="22"/>
      <c r="E838" s="9"/>
      <c r="F838" s="9"/>
      <c r="G838" s="9"/>
      <c r="H838" s="20"/>
      <c r="I838" s="22"/>
    </row>
    <row r="839" customFormat="false" ht="15" hidden="false" customHeight="true" outlineLevel="0" collapsed="false">
      <c r="A839" s="22"/>
      <c r="B839" s="22"/>
      <c r="C839" s="22"/>
      <c r="D839" s="22"/>
      <c r="E839" s="9"/>
      <c r="F839" s="9"/>
      <c r="G839" s="9"/>
      <c r="H839" s="20"/>
      <c r="I839" s="22"/>
    </row>
    <row r="840" customFormat="false" ht="15" hidden="false" customHeight="true" outlineLevel="0" collapsed="false">
      <c r="A840" s="22"/>
      <c r="B840" s="22"/>
      <c r="C840" s="22"/>
      <c r="D840" s="22"/>
      <c r="E840" s="9"/>
      <c r="F840" s="9"/>
      <c r="G840" s="9"/>
      <c r="H840" s="20"/>
      <c r="I840" s="22"/>
    </row>
    <row r="841" customFormat="false" ht="15" hidden="false" customHeight="true" outlineLevel="0" collapsed="false">
      <c r="A841" s="22"/>
      <c r="B841" s="22"/>
      <c r="C841" s="22"/>
      <c r="D841" s="22"/>
      <c r="E841" s="9"/>
      <c r="F841" s="9"/>
      <c r="G841" s="9"/>
      <c r="H841" s="20"/>
      <c r="I841" s="22"/>
    </row>
    <row r="842" customFormat="false" ht="15" hidden="false" customHeight="true" outlineLevel="0" collapsed="false">
      <c r="A842" s="22"/>
      <c r="B842" s="22"/>
      <c r="C842" s="22"/>
      <c r="D842" s="22"/>
      <c r="E842" s="9"/>
      <c r="F842" s="9"/>
      <c r="G842" s="9"/>
      <c r="H842" s="20"/>
      <c r="I842" s="22"/>
    </row>
    <row r="843" customFormat="false" ht="15" hidden="false" customHeight="true" outlineLevel="0" collapsed="false">
      <c r="A843" s="22"/>
      <c r="B843" s="22"/>
      <c r="C843" s="22"/>
      <c r="D843" s="22"/>
      <c r="E843" s="9"/>
      <c r="F843" s="9"/>
      <c r="G843" s="9"/>
      <c r="H843" s="20"/>
      <c r="I843" s="22"/>
    </row>
    <row r="844" customFormat="false" ht="15" hidden="false" customHeight="true" outlineLevel="0" collapsed="false">
      <c r="A844" s="22"/>
      <c r="B844" s="22"/>
      <c r="C844" s="22"/>
      <c r="D844" s="22"/>
      <c r="E844" s="9"/>
      <c r="F844" s="9"/>
      <c r="G844" s="9"/>
      <c r="H844" s="20"/>
      <c r="I844" s="22"/>
    </row>
    <row r="845" customFormat="false" ht="15" hidden="false" customHeight="true" outlineLevel="0" collapsed="false">
      <c r="A845" s="22"/>
      <c r="B845" s="22"/>
      <c r="C845" s="22"/>
      <c r="D845" s="22"/>
      <c r="E845" s="9"/>
      <c r="F845" s="9"/>
      <c r="G845" s="9"/>
      <c r="H845" s="20"/>
      <c r="I845" s="22"/>
    </row>
    <row r="846" customFormat="false" ht="15" hidden="false" customHeight="true" outlineLevel="0" collapsed="false">
      <c r="A846" s="22"/>
      <c r="B846" s="22"/>
      <c r="C846" s="22"/>
      <c r="D846" s="22"/>
      <c r="E846" s="9"/>
      <c r="F846" s="9"/>
      <c r="G846" s="9"/>
      <c r="H846" s="20"/>
      <c r="I846" s="22"/>
    </row>
    <row r="847" customFormat="false" ht="15" hidden="false" customHeight="true" outlineLevel="0" collapsed="false">
      <c r="A847" s="22"/>
      <c r="B847" s="22"/>
      <c r="C847" s="22"/>
      <c r="D847" s="22"/>
      <c r="E847" s="9"/>
      <c r="F847" s="9"/>
      <c r="G847" s="9"/>
      <c r="H847" s="20"/>
      <c r="I847" s="22"/>
    </row>
    <row r="848" customFormat="false" ht="15" hidden="false" customHeight="true" outlineLevel="0" collapsed="false">
      <c r="A848" s="22"/>
      <c r="B848" s="22"/>
      <c r="C848" s="22"/>
      <c r="D848" s="22"/>
      <c r="E848" s="9"/>
      <c r="F848" s="9"/>
      <c r="G848" s="9"/>
      <c r="H848" s="20"/>
      <c r="I848" s="22"/>
    </row>
    <row r="849" customFormat="false" ht="15" hidden="false" customHeight="true" outlineLevel="0" collapsed="false">
      <c r="A849" s="22"/>
      <c r="B849" s="22"/>
      <c r="C849" s="22"/>
      <c r="D849" s="22"/>
      <c r="E849" s="9"/>
      <c r="F849" s="9"/>
      <c r="G849" s="9"/>
      <c r="H849" s="20"/>
      <c r="I849" s="22"/>
    </row>
    <row r="850" customFormat="false" ht="15" hidden="false" customHeight="true" outlineLevel="0" collapsed="false">
      <c r="A850" s="22"/>
      <c r="B850" s="22"/>
      <c r="C850" s="22"/>
      <c r="D850" s="22"/>
      <c r="E850" s="9"/>
      <c r="F850" s="9"/>
      <c r="G850" s="9"/>
      <c r="H850" s="20"/>
      <c r="I850" s="22"/>
    </row>
    <row r="851" customFormat="false" ht="15" hidden="false" customHeight="true" outlineLevel="0" collapsed="false">
      <c r="A851" s="22"/>
      <c r="B851" s="22"/>
      <c r="C851" s="22"/>
      <c r="D851" s="22"/>
      <c r="E851" s="9"/>
      <c r="F851" s="9"/>
      <c r="G851" s="9"/>
      <c r="H851" s="20"/>
      <c r="I851" s="22"/>
    </row>
    <row r="852" customFormat="false" ht="15" hidden="false" customHeight="true" outlineLevel="0" collapsed="false">
      <c r="A852" s="22"/>
      <c r="B852" s="22"/>
      <c r="C852" s="22"/>
      <c r="D852" s="22"/>
      <c r="E852" s="9"/>
      <c r="F852" s="9"/>
      <c r="G852" s="9"/>
      <c r="H852" s="20"/>
      <c r="I852" s="22"/>
    </row>
    <row r="853" customFormat="false" ht="15" hidden="false" customHeight="true" outlineLevel="0" collapsed="false">
      <c r="A853" s="22"/>
      <c r="B853" s="22"/>
      <c r="C853" s="22"/>
      <c r="D853" s="22"/>
      <c r="E853" s="9"/>
      <c r="F853" s="9"/>
      <c r="G853" s="9"/>
      <c r="H853" s="20"/>
      <c r="I853" s="22"/>
    </row>
    <row r="854" customFormat="false" ht="15" hidden="false" customHeight="true" outlineLevel="0" collapsed="false">
      <c r="A854" s="22"/>
      <c r="B854" s="22"/>
      <c r="C854" s="22"/>
      <c r="D854" s="22"/>
      <c r="E854" s="9"/>
      <c r="F854" s="9"/>
      <c r="G854" s="9"/>
      <c r="H854" s="20"/>
      <c r="I854" s="22"/>
    </row>
    <row r="855" customFormat="false" ht="15" hidden="false" customHeight="true" outlineLevel="0" collapsed="false">
      <c r="A855" s="22"/>
      <c r="B855" s="22"/>
      <c r="C855" s="22"/>
      <c r="D855" s="22"/>
      <c r="E855" s="9"/>
      <c r="F855" s="9"/>
      <c r="G855" s="9"/>
      <c r="H855" s="20"/>
      <c r="I855" s="22"/>
    </row>
    <row r="856" customFormat="false" ht="15" hidden="false" customHeight="true" outlineLevel="0" collapsed="false">
      <c r="A856" s="22"/>
      <c r="B856" s="22"/>
      <c r="C856" s="22"/>
      <c r="D856" s="22"/>
      <c r="E856" s="9"/>
      <c r="F856" s="9"/>
      <c r="G856" s="9"/>
      <c r="H856" s="20"/>
      <c r="I856" s="22"/>
    </row>
    <row r="857" customFormat="false" ht="15" hidden="false" customHeight="true" outlineLevel="0" collapsed="false">
      <c r="A857" s="22"/>
      <c r="B857" s="22"/>
      <c r="C857" s="22"/>
      <c r="D857" s="22"/>
      <c r="E857" s="9"/>
      <c r="F857" s="9"/>
      <c r="G857" s="9"/>
      <c r="H857" s="20"/>
      <c r="I857" s="22"/>
    </row>
    <row r="858" customFormat="false" ht="15" hidden="false" customHeight="true" outlineLevel="0" collapsed="false">
      <c r="A858" s="22"/>
      <c r="B858" s="22"/>
      <c r="C858" s="22"/>
      <c r="D858" s="22"/>
      <c r="E858" s="9"/>
      <c r="F858" s="9"/>
      <c r="G858" s="9"/>
      <c r="H858" s="20"/>
      <c r="I858" s="22"/>
    </row>
    <row r="859" customFormat="false" ht="15" hidden="false" customHeight="true" outlineLevel="0" collapsed="false">
      <c r="A859" s="22"/>
      <c r="B859" s="22"/>
      <c r="C859" s="22"/>
      <c r="D859" s="22"/>
      <c r="E859" s="9"/>
      <c r="F859" s="9"/>
      <c r="G859" s="9"/>
      <c r="H859" s="20"/>
      <c r="I859" s="22"/>
    </row>
    <row r="860" customFormat="false" ht="15" hidden="false" customHeight="true" outlineLevel="0" collapsed="false">
      <c r="A860" s="22"/>
      <c r="B860" s="22"/>
      <c r="C860" s="22"/>
      <c r="D860" s="22"/>
      <c r="E860" s="9"/>
      <c r="F860" s="9"/>
      <c r="G860" s="9"/>
      <c r="H860" s="20"/>
      <c r="I860" s="22"/>
    </row>
    <row r="861" customFormat="false" ht="15" hidden="false" customHeight="true" outlineLevel="0" collapsed="false">
      <c r="A861" s="22"/>
      <c r="B861" s="22"/>
      <c r="C861" s="22"/>
      <c r="D861" s="22"/>
      <c r="E861" s="9"/>
      <c r="F861" s="9"/>
      <c r="G861" s="9"/>
      <c r="H861" s="20"/>
      <c r="I861" s="22"/>
    </row>
    <row r="862" customFormat="false" ht="15" hidden="false" customHeight="true" outlineLevel="0" collapsed="false">
      <c r="A862" s="22"/>
      <c r="B862" s="22"/>
      <c r="C862" s="22"/>
      <c r="D862" s="22"/>
      <c r="E862" s="9"/>
      <c r="F862" s="9"/>
      <c r="G862" s="9"/>
      <c r="H862" s="20"/>
      <c r="I862" s="22"/>
    </row>
    <row r="863" customFormat="false" ht="15" hidden="false" customHeight="true" outlineLevel="0" collapsed="false">
      <c r="A863" s="22"/>
      <c r="B863" s="22"/>
      <c r="C863" s="22"/>
      <c r="D863" s="22"/>
      <c r="E863" s="9"/>
      <c r="F863" s="9"/>
      <c r="G863" s="9"/>
      <c r="H863" s="20"/>
      <c r="I863" s="22"/>
    </row>
    <row r="864" customFormat="false" ht="15" hidden="false" customHeight="true" outlineLevel="0" collapsed="false">
      <c r="A864" s="22"/>
      <c r="B864" s="22"/>
      <c r="C864" s="22"/>
      <c r="D864" s="22"/>
      <c r="E864" s="9"/>
      <c r="F864" s="9"/>
      <c r="G864" s="9"/>
      <c r="H864" s="20"/>
      <c r="I864" s="22"/>
    </row>
    <row r="865" customFormat="false" ht="15" hidden="false" customHeight="true" outlineLevel="0" collapsed="false">
      <c r="A865" s="22"/>
      <c r="B865" s="22"/>
      <c r="C865" s="22"/>
      <c r="D865" s="22"/>
      <c r="E865" s="9"/>
      <c r="F865" s="9"/>
      <c r="G865" s="9"/>
      <c r="H865" s="20"/>
      <c r="I865" s="22"/>
    </row>
    <row r="866" customFormat="false" ht="15" hidden="false" customHeight="true" outlineLevel="0" collapsed="false">
      <c r="A866" s="22"/>
      <c r="B866" s="22"/>
      <c r="C866" s="22"/>
      <c r="D866" s="22"/>
      <c r="E866" s="9"/>
      <c r="F866" s="9"/>
      <c r="G866" s="9"/>
      <c r="H866" s="20"/>
      <c r="I866" s="22"/>
    </row>
    <row r="867" customFormat="false" ht="15" hidden="false" customHeight="true" outlineLevel="0" collapsed="false">
      <c r="A867" s="22"/>
      <c r="B867" s="22"/>
      <c r="C867" s="22"/>
      <c r="D867" s="22"/>
      <c r="E867" s="9"/>
      <c r="F867" s="9"/>
      <c r="G867" s="9"/>
      <c r="H867" s="20"/>
      <c r="I867" s="22"/>
    </row>
    <row r="868" customFormat="false" ht="15" hidden="false" customHeight="true" outlineLevel="0" collapsed="false">
      <c r="A868" s="22"/>
      <c r="B868" s="22"/>
      <c r="C868" s="22"/>
      <c r="D868" s="22"/>
      <c r="E868" s="9"/>
      <c r="F868" s="9"/>
      <c r="G868" s="9"/>
      <c r="H868" s="20"/>
      <c r="I868" s="22"/>
    </row>
    <row r="869" customFormat="false" ht="15" hidden="false" customHeight="true" outlineLevel="0" collapsed="false">
      <c r="A869" s="22"/>
      <c r="B869" s="22"/>
      <c r="C869" s="22"/>
      <c r="D869" s="22"/>
      <c r="E869" s="9"/>
      <c r="F869" s="9"/>
      <c r="G869" s="9"/>
      <c r="H869" s="20"/>
      <c r="I869" s="22"/>
    </row>
    <row r="870" customFormat="false" ht="15" hidden="false" customHeight="true" outlineLevel="0" collapsed="false">
      <c r="A870" s="22"/>
      <c r="B870" s="22"/>
      <c r="C870" s="22"/>
      <c r="D870" s="22"/>
      <c r="E870" s="9"/>
      <c r="F870" s="9"/>
      <c r="G870" s="9"/>
      <c r="H870" s="20"/>
      <c r="I870" s="22"/>
    </row>
    <row r="871" customFormat="false" ht="15" hidden="false" customHeight="true" outlineLevel="0" collapsed="false">
      <c r="A871" s="22"/>
      <c r="B871" s="22"/>
      <c r="C871" s="22"/>
      <c r="D871" s="22"/>
      <c r="E871" s="9"/>
      <c r="F871" s="9"/>
      <c r="G871" s="9"/>
      <c r="H871" s="20"/>
      <c r="I871" s="22"/>
    </row>
    <row r="872" customFormat="false" ht="15" hidden="false" customHeight="true" outlineLevel="0" collapsed="false">
      <c r="A872" s="22"/>
      <c r="B872" s="22"/>
      <c r="C872" s="22"/>
      <c r="D872" s="22"/>
      <c r="E872" s="9"/>
      <c r="F872" s="9"/>
      <c r="G872" s="9"/>
      <c r="H872" s="20"/>
      <c r="I872" s="22"/>
    </row>
    <row r="873" customFormat="false" ht="15" hidden="false" customHeight="true" outlineLevel="0" collapsed="false">
      <c r="A873" s="22"/>
      <c r="B873" s="22"/>
      <c r="C873" s="22"/>
      <c r="D873" s="22"/>
      <c r="E873" s="9"/>
      <c r="F873" s="9"/>
      <c r="G873" s="9"/>
      <c r="H873" s="20"/>
      <c r="I873" s="22"/>
    </row>
    <row r="874" customFormat="false" ht="15" hidden="false" customHeight="true" outlineLevel="0" collapsed="false">
      <c r="A874" s="22"/>
      <c r="B874" s="22"/>
      <c r="C874" s="22"/>
      <c r="D874" s="22"/>
      <c r="E874" s="9"/>
      <c r="F874" s="9"/>
      <c r="G874" s="9"/>
      <c r="H874" s="20"/>
      <c r="I874" s="22"/>
    </row>
    <row r="875" customFormat="false" ht="15" hidden="false" customHeight="true" outlineLevel="0" collapsed="false">
      <c r="A875" s="22"/>
      <c r="B875" s="22"/>
      <c r="C875" s="22"/>
      <c r="D875" s="22"/>
      <c r="E875" s="9"/>
      <c r="F875" s="9"/>
      <c r="G875" s="9"/>
      <c r="H875" s="20"/>
      <c r="I875" s="22"/>
    </row>
    <row r="876" customFormat="false" ht="15" hidden="false" customHeight="true" outlineLevel="0" collapsed="false">
      <c r="A876" s="22"/>
      <c r="B876" s="22"/>
      <c r="C876" s="22"/>
      <c r="D876" s="22"/>
      <c r="E876" s="9"/>
      <c r="F876" s="9"/>
      <c r="G876" s="9"/>
      <c r="H876" s="20"/>
      <c r="I876" s="22"/>
    </row>
    <row r="877" customFormat="false" ht="15" hidden="false" customHeight="true" outlineLevel="0" collapsed="false">
      <c r="A877" s="22"/>
      <c r="B877" s="22"/>
      <c r="C877" s="22"/>
      <c r="D877" s="22"/>
      <c r="E877" s="9"/>
      <c r="F877" s="9"/>
      <c r="G877" s="9"/>
      <c r="H877" s="20"/>
      <c r="I877" s="22"/>
    </row>
    <row r="878" customFormat="false" ht="15" hidden="false" customHeight="true" outlineLevel="0" collapsed="false">
      <c r="A878" s="22"/>
      <c r="B878" s="22"/>
      <c r="C878" s="22"/>
      <c r="D878" s="22"/>
      <c r="E878" s="9"/>
      <c r="F878" s="9"/>
      <c r="G878" s="9"/>
      <c r="H878" s="20"/>
      <c r="I878" s="22"/>
    </row>
    <row r="879" customFormat="false" ht="15" hidden="false" customHeight="true" outlineLevel="0" collapsed="false">
      <c r="A879" s="22"/>
      <c r="B879" s="22"/>
      <c r="C879" s="22"/>
      <c r="D879" s="22"/>
      <c r="E879" s="9"/>
      <c r="F879" s="9"/>
      <c r="G879" s="9"/>
      <c r="H879" s="20"/>
      <c r="I879" s="22"/>
    </row>
    <row r="880" customFormat="false" ht="15" hidden="false" customHeight="true" outlineLevel="0" collapsed="false">
      <c r="A880" s="22"/>
      <c r="B880" s="22"/>
      <c r="C880" s="22"/>
      <c r="D880" s="22"/>
      <c r="E880" s="9"/>
      <c r="F880" s="9"/>
      <c r="G880" s="9"/>
      <c r="H880" s="20"/>
      <c r="I880" s="22"/>
    </row>
    <row r="881" customFormat="false" ht="15" hidden="false" customHeight="true" outlineLevel="0" collapsed="false">
      <c r="A881" s="22"/>
      <c r="B881" s="22"/>
      <c r="C881" s="22"/>
      <c r="D881" s="22"/>
      <c r="E881" s="9"/>
      <c r="F881" s="9"/>
      <c r="G881" s="9"/>
      <c r="H881" s="20"/>
      <c r="I881" s="22"/>
    </row>
    <row r="882" customFormat="false" ht="15" hidden="false" customHeight="true" outlineLevel="0" collapsed="false">
      <c r="A882" s="22"/>
      <c r="B882" s="22"/>
      <c r="C882" s="22"/>
      <c r="D882" s="22"/>
      <c r="E882" s="9"/>
      <c r="F882" s="9"/>
      <c r="G882" s="9"/>
      <c r="H882" s="20"/>
      <c r="I882" s="22"/>
    </row>
    <row r="883" customFormat="false" ht="15" hidden="false" customHeight="true" outlineLevel="0" collapsed="false">
      <c r="A883" s="22"/>
      <c r="B883" s="22"/>
      <c r="C883" s="22"/>
      <c r="D883" s="22"/>
      <c r="E883" s="9"/>
      <c r="F883" s="9"/>
      <c r="G883" s="9"/>
      <c r="H883" s="20"/>
      <c r="I883" s="22"/>
    </row>
    <row r="884" customFormat="false" ht="15" hidden="false" customHeight="true" outlineLevel="0" collapsed="false">
      <c r="A884" s="22"/>
      <c r="B884" s="22"/>
      <c r="C884" s="22"/>
      <c r="D884" s="22"/>
      <c r="E884" s="9"/>
      <c r="F884" s="9"/>
      <c r="G884" s="9"/>
      <c r="H884" s="20"/>
      <c r="I884" s="22"/>
    </row>
    <row r="885" customFormat="false" ht="15" hidden="false" customHeight="true" outlineLevel="0" collapsed="false">
      <c r="A885" s="22"/>
      <c r="B885" s="22"/>
      <c r="C885" s="22"/>
      <c r="D885" s="22"/>
      <c r="E885" s="9"/>
      <c r="F885" s="9"/>
      <c r="G885" s="9"/>
      <c r="H885" s="20"/>
      <c r="I885" s="22"/>
    </row>
    <row r="886" customFormat="false" ht="15" hidden="false" customHeight="true" outlineLevel="0" collapsed="false">
      <c r="A886" s="22"/>
      <c r="B886" s="22"/>
      <c r="C886" s="22"/>
      <c r="D886" s="22"/>
      <c r="E886" s="9"/>
      <c r="F886" s="9"/>
      <c r="G886" s="9"/>
      <c r="H886" s="20"/>
      <c r="I886" s="22"/>
    </row>
    <row r="887" customFormat="false" ht="15" hidden="false" customHeight="true" outlineLevel="0" collapsed="false">
      <c r="A887" s="22"/>
      <c r="B887" s="22"/>
      <c r="C887" s="22"/>
      <c r="D887" s="22"/>
      <c r="E887" s="9"/>
      <c r="F887" s="9"/>
      <c r="G887" s="9"/>
      <c r="H887" s="20"/>
      <c r="I887" s="22"/>
    </row>
    <row r="888" customFormat="false" ht="15" hidden="false" customHeight="true" outlineLevel="0" collapsed="false">
      <c r="A888" s="22"/>
      <c r="B888" s="22"/>
      <c r="C888" s="22"/>
      <c r="D888" s="22"/>
      <c r="E888" s="9"/>
      <c r="F888" s="9"/>
      <c r="G888" s="9"/>
      <c r="H888" s="20"/>
      <c r="I888" s="22"/>
    </row>
    <row r="889" customFormat="false" ht="15" hidden="false" customHeight="true" outlineLevel="0" collapsed="false">
      <c r="A889" s="22"/>
      <c r="B889" s="22"/>
      <c r="C889" s="22"/>
      <c r="D889" s="22"/>
      <c r="E889" s="9"/>
      <c r="F889" s="9"/>
      <c r="G889" s="9"/>
      <c r="H889" s="20"/>
      <c r="I889" s="22"/>
    </row>
    <row r="890" customFormat="false" ht="15" hidden="false" customHeight="true" outlineLevel="0" collapsed="false">
      <c r="A890" s="22"/>
      <c r="B890" s="22"/>
      <c r="C890" s="22"/>
      <c r="D890" s="22"/>
      <c r="E890" s="9"/>
      <c r="F890" s="9"/>
      <c r="G890" s="9"/>
      <c r="H890" s="20"/>
      <c r="I890" s="22"/>
    </row>
    <row r="891" customFormat="false" ht="15" hidden="false" customHeight="true" outlineLevel="0" collapsed="false">
      <c r="A891" s="22"/>
      <c r="B891" s="22"/>
      <c r="C891" s="22"/>
      <c r="D891" s="22"/>
      <c r="E891" s="9"/>
      <c r="F891" s="9"/>
      <c r="G891" s="9"/>
      <c r="H891" s="20"/>
      <c r="I891" s="22"/>
    </row>
    <row r="892" customFormat="false" ht="15" hidden="false" customHeight="true" outlineLevel="0" collapsed="false">
      <c r="A892" s="22"/>
      <c r="B892" s="22"/>
      <c r="C892" s="22"/>
      <c r="D892" s="22"/>
      <c r="E892" s="9"/>
      <c r="F892" s="9"/>
      <c r="G892" s="9"/>
      <c r="H892" s="20"/>
      <c r="I892" s="22"/>
    </row>
    <row r="893" customFormat="false" ht="15" hidden="false" customHeight="true" outlineLevel="0" collapsed="false">
      <c r="A893" s="22"/>
      <c r="B893" s="22"/>
      <c r="C893" s="22"/>
      <c r="D893" s="22"/>
      <c r="E893" s="9"/>
      <c r="F893" s="9"/>
      <c r="G893" s="9"/>
      <c r="H893" s="20"/>
      <c r="I893" s="22"/>
    </row>
    <row r="894" customFormat="false" ht="15" hidden="false" customHeight="true" outlineLevel="0" collapsed="false">
      <c r="A894" s="22"/>
      <c r="B894" s="22"/>
      <c r="C894" s="22"/>
      <c r="D894" s="22"/>
      <c r="E894" s="9"/>
      <c r="F894" s="9"/>
      <c r="G894" s="9"/>
      <c r="H894" s="20"/>
      <c r="I894" s="22"/>
    </row>
    <row r="895" customFormat="false" ht="15" hidden="false" customHeight="true" outlineLevel="0" collapsed="false">
      <c r="A895" s="22"/>
      <c r="B895" s="22"/>
      <c r="C895" s="22"/>
      <c r="D895" s="22"/>
      <c r="E895" s="9"/>
      <c r="F895" s="9"/>
      <c r="G895" s="9"/>
      <c r="H895" s="20"/>
      <c r="I895" s="22"/>
    </row>
    <row r="896" customFormat="false" ht="15" hidden="false" customHeight="true" outlineLevel="0" collapsed="false">
      <c r="A896" s="22"/>
      <c r="B896" s="22"/>
      <c r="C896" s="22"/>
      <c r="D896" s="22"/>
      <c r="E896" s="9"/>
      <c r="F896" s="9"/>
      <c r="G896" s="9"/>
      <c r="H896" s="20"/>
      <c r="I896" s="22"/>
    </row>
    <row r="897" customFormat="false" ht="15" hidden="false" customHeight="true" outlineLevel="0" collapsed="false">
      <c r="A897" s="22"/>
      <c r="B897" s="22"/>
      <c r="C897" s="22"/>
      <c r="D897" s="22"/>
      <c r="E897" s="9"/>
      <c r="F897" s="9"/>
      <c r="G897" s="9"/>
      <c r="H897" s="20"/>
      <c r="I897" s="22"/>
    </row>
    <row r="898" customFormat="false" ht="15" hidden="false" customHeight="true" outlineLevel="0" collapsed="false">
      <c r="A898" s="22"/>
      <c r="B898" s="22"/>
      <c r="C898" s="22"/>
      <c r="D898" s="22"/>
      <c r="E898" s="9"/>
      <c r="F898" s="9"/>
      <c r="G898" s="9"/>
      <c r="H898" s="20"/>
      <c r="I898" s="22"/>
    </row>
    <row r="899" customFormat="false" ht="15" hidden="false" customHeight="true" outlineLevel="0" collapsed="false">
      <c r="A899" s="22"/>
      <c r="B899" s="22"/>
      <c r="C899" s="22"/>
      <c r="D899" s="22"/>
      <c r="E899" s="9"/>
      <c r="F899" s="9"/>
      <c r="G899" s="9"/>
      <c r="H899" s="20"/>
      <c r="I899" s="22"/>
    </row>
    <row r="900" customFormat="false" ht="15" hidden="false" customHeight="true" outlineLevel="0" collapsed="false">
      <c r="A900" s="22"/>
      <c r="B900" s="22"/>
      <c r="C900" s="22"/>
      <c r="D900" s="22"/>
      <c r="E900" s="9"/>
      <c r="F900" s="9"/>
      <c r="G900" s="9"/>
      <c r="H900" s="20"/>
      <c r="I900" s="22"/>
    </row>
    <row r="901" customFormat="false" ht="15" hidden="false" customHeight="true" outlineLevel="0" collapsed="false">
      <c r="A901" s="22"/>
      <c r="B901" s="22"/>
      <c r="C901" s="22"/>
      <c r="D901" s="22"/>
      <c r="E901" s="9"/>
      <c r="F901" s="9"/>
      <c r="G901" s="9"/>
      <c r="H901" s="20"/>
      <c r="I901" s="22"/>
    </row>
    <row r="902" customFormat="false" ht="15" hidden="false" customHeight="true" outlineLevel="0" collapsed="false">
      <c r="A902" s="22"/>
      <c r="B902" s="22"/>
      <c r="C902" s="22"/>
      <c r="D902" s="22"/>
      <c r="E902" s="9"/>
      <c r="F902" s="9"/>
      <c r="G902" s="9"/>
      <c r="H902" s="20"/>
      <c r="I902" s="22"/>
    </row>
    <row r="903" customFormat="false" ht="15" hidden="false" customHeight="true" outlineLevel="0" collapsed="false">
      <c r="A903" s="22"/>
      <c r="B903" s="22"/>
      <c r="C903" s="22"/>
      <c r="D903" s="22"/>
      <c r="E903" s="9"/>
      <c r="F903" s="9"/>
      <c r="G903" s="9"/>
      <c r="H903" s="20"/>
      <c r="I903" s="22"/>
    </row>
    <row r="904" customFormat="false" ht="15" hidden="false" customHeight="true" outlineLevel="0" collapsed="false">
      <c r="A904" s="22"/>
      <c r="B904" s="22"/>
      <c r="C904" s="22"/>
      <c r="D904" s="22"/>
      <c r="E904" s="9"/>
      <c r="F904" s="9"/>
      <c r="G904" s="9"/>
      <c r="H904" s="20"/>
      <c r="I904" s="22"/>
    </row>
    <row r="905" customFormat="false" ht="15" hidden="false" customHeight="true" outlineLevel="0" collapsed="false">
      <c r="A905" s="22"/>
      <c r="B905" s="22"/>
      <c r="C905" s="22"/>
      <c r="D905" s="22"/>
      <c r="E905" s="9"/>
      <c r="F905" s="9"/>
      <c r="G905" s="9"/>
      <c r="H905" s="20"/>
      <c r="I905" s="22"/>
    </row>
    <row r="906" customFormat="false" ht="15" hidden="false" customHeight="true" outlineLevel="0" collapsed="false">
      <c r="A906" s="22"/>
      <c r="B906" s="22"/>
      <c r="C906" s="22"/>
      <c r="D906" s="22"/>
      <c r="E906" s="9"/>
      <c r="F906" s="9"/>
      <c r="G906" s="9"/>
      <c r="H906" s="20"/>
      <c r="I906" s="22"/>
    </row>
    <row r="907" customFormat="false" ht="15" hidden="false" customHeight="true" outlineLevel="0" collapsed="false">
      <c r="A907" s="22"/>
      <c r="B907" s="22"/>
      <c r="C907" s="22"/>
      <c r="D907" s="22"/>
      <c r="E907" s="9"/>
      <c r="F907" s="9"/>
      <c r="G907" s="9"/>
      <c r="H907" s="20"/>
      <c r="I907" s="22"/>
    </row>
    <row r="908" customFormat="false" ht="15" hidden="false" customHeight="true" outlineLevel="0" collapsed="false">
      <c r="A908" s="22"/>
      <c r="B908" s="22"/>
      <c r="C908" s="22"/>
      <c r="D908" s="22"/>
      <c r="E908" s="9"/>
      <c r="F908" s="9"/>
      <c r="G908" s="9"/>
      <c r="H908" s="20"/>
      <c r="I908" s="22"/>
    </row>
    <row r="909" customFormat="false" ht="15" hidden="false" customHeight="true" outlineLevel="0" collapsed="false">
      <c r="A909" s="22"/>
      <c r="B909" s="22"/>
      <c r="C909" s="22"/>
      <c r="D909" s="22"/>
      <c r="E909" s="9"/>
      <c r="F909" s="9"/>
      <c r="G909" s="9"/>
      <c r="H909" s="20"/>
      <c r="I909" s="22"/>
    </row>
    <row r="910" customFormat="false" ht="15" hidden="false" customHeight="true" outlineLevel="0" collapsed="false">
      <c r="A910" s="22"/>
      <c r="B910" s="22"/>
      <c r="C910" s="22"/>
      <c r="D910" s="22"/>
      <c r="E910" s="9"/>
      <c r="F910" s="9"/>
      <c r="G910" s="9"/>
      <c r="H910" s="20"/>
      <c r="I910" s="22"/>
    </row>
    <row r="911" customFormat="false" ht="15" hidden="false" customHeight="true" outlineLevel="0" collapsed="false">
      <c r="A911" s="22"/>
      <c r="B911" s="22"/>
      <c r="C911" s="22"/>
      <c r="D911" s="22"/>
      <c r="E911" s="9"/>
      <c r="F911" s="9"/>
      <c r="G911" s="9"/>
      <c r="H911" s="20"/>
      <c r="I911" s="22"/>
    </row>
    <row r="912" customFormat="false" ht="15" hidden="false" customHeight="true" outlineLevel="0" collapsed="false">
      <c r="A912" s="22"/>
      <c r="B912" s="22"/>
      <c r="C912" s="22"/>
      <c r="D912" s="22"/>
      <c r="E912" s="9"/>
      <c r="F912" s="9"/>
      <c r="G912" s="9"/>
      <c r="H912" s="20"/>
      <c r="I912" s="22"/>
    </row>
    <row r="913" customFormat="false" ht="15" hidden="false" customHeight="true" outlineLevel="0" collapsed="false">
      <c r="A913" s="22"/>
      <c r="B913" s="22"/>
      <c r="C913" s="22"/>
      <c r="D913" s="22"/>
      <c r="E913" s="9"/>
      <c r="F913" s="9"/>
      <c r="G913" s="9"/>
      <c r="H913" s="20"/>
      <c r="I913" s="22"/>
    </row>
    <row r="914" customFormat="false" ht="15" hidden="false" customHeight="true" outlineLevel="0" collapsed="false">
      <c r="A914" s="22"/>
      <c r="B914" s="22"/>
      <c r="C914" s="22"/>
      <c r="D914" s="22"/>
      <c r="E914" s="9"/>
      <c r="F914" s="9"/>
      <c r="G914" s="9"/>
      <c r="H914" s="20"/>
      <c r="I914" s="22"/>
    </row>
    <row r="915" customFormat="false" ht="15" hidden="false" customHeight="true" outlineLevel="0" collapsed="false">
      <c r="A915" s="22"/>
      <c r="B915" s="22"/>
      <c r="C915" s="22"/>
      <c r="D915" s="22"/>
      <c r="E915" s="9"/>
      <c r="F915" s="9"/>
      <c r="G915" s="9"/>
      <c r="H915" s="20"/>
      <c r="I915" s="22"/>
    </row>
    <row r="916" customFormat="false" ht="15" hidden="false" customHeight="true" outlineLevel="0" collapsed="false">
      <c r="A916" s="22"/>
      <c r="B916" s="22"/>
      <c r="C916" s="22"/>
      <c r="D916" s="22"/>
      <c r="E916" s="9"/>
      <c r="F916" s="9"/>
      <c r="G916" s="9"/>
      <c r="H916" s="20"/>
      <c r="I916" s="22"/>
    </row>
    <row r="917" customFormat="false" ht="15" hidden="false" customHeight="true" outlineLevel="0" collapsed="false">
      <c r="A917" s="22"/>
      <c r="B917" s="22"/>
      <c r="C917" s="22"/>
      <c r="D917" s="22"/>
      <c r="E917" s="9"/>
      <c r="F917" s="9"/>
      <c r="G917" s="9"/>
      <c r="H917" s="20"/>
      <c r="I917" s="22"/>
    </row>
    <row r="918" customFormat="false" ht="15" hidden="false" customHeight="true" outlineLevel="0" collapsed="false">
      <c r="A918" s="22"/>
      <c r="B918" s="22"/>
      <c r="C918" s="22"/>
      <c r="D918" s="22"/>
      <c r="E918" s="9"/>
      <c r="F918" s="9"/>
      <c r="G918" s="9"/>
      <c r="H918" s="20"/>
      <c r="I918" s="22"/>
    </row>
    <row r="919" customFormat="false" ht="15" hidden="false" customHeight="true" outlineLevel="0" collapsed="false">
      <c r="A919" s="22"/>
      <c r="B919" s="22"/>
      <c r="C919" s="22"/>
      <c r="D919" s="22"/>
      <c r="E919" s="9"/>
      <c r="F919" s="9"/>
      <c r="G919" s="9"/>
      <c r="H919" s="20"/>
      <c r="I919" s="22"/>
    </row>
    <row r="920" customFormat="false" ht="15" hidden="false" customHeight="true" outlineLevel="0" collapsed="false">
      <c r="A920" s="22"/>
      <c r="B920" s="22"/>
      <c r="C920" s="22"/>
      <c r="D920" s="22"/>
      <c r="E920" s="9"/>
      <c r="F920" s="9"/>
      <c r="G920" s="9"/>
      <c r="H920" s="20"/>
      <c r="I920" s="22"/>
    </row>
    <row r="921" customFormat="false" ht="15" hidden="false" customHeight="true" outlineLevel="0" collapsed="false">
      <c r="A921" s="22"/>
      <c r="B921" s="22"/>
      <c r="C921" s="22"/>
      <c r="D921" s="22"/>
      <c r="E921" s="9"/>
      <c r="F921" s="9"/>
      <c r="G921" s="9"/>
      <c r="H921" s="20"/>
      <c r="I921" s="22"/>
    </row>
    <row r="922" customFormat="false" ht="15" hidden="false" customHeight="true" outlineLevel="0" collapsed="false">
      <c r="A922" s="22"/>
      <c r="B922" s="22"/>
      <c r="C922" s="22"/>
      <c r="D922" s="22"/>
      <c r="E922" s="9"/>
      <c r="F922" s="9"/>
      <c r="G922" s="9"/>
      <c r="H922" s="20"/>
      <c r="I922" s="22"/>
    </row>
    <row r="923" customFormat="false" ht="15" hidden="false" customHeight="true" outlineLevel="0" collapsed="false">
      <c r="A923" s="22"/>
      <c r="B923" s="22"/>
      <c r="C923" s="22"/>
      <c r="D923" s="22"/>
      <c r="E923" s="9"/>
      <c r="F923" s="9"/>
      <c r="G923" s="9"/>
      <c r="H923" s="20"/>
      <c r="I923" s="22"/>
    </row>
    <row r="924" customFormat="false" ht="15" hidden="false" customHeight="true" outlineLevel="0" collapsed="false">
      <c r="A924" s="22"/>
      <c r="B924" s="22"/>
      <c r="C924" s="22"/>
      <c r="D924" s="22"/>
      <c r="E924" s="9"/>
      <c r="F924" s="9"/>
      <c r="G924" s="9"/>
      <c r="H924" s="20"/>
      <c r="I924" s="22"/>
    </row>
    <row r="925" customFormat="false" ht="15" hidden="false" customHeight="true" outlineLevel="0" collapsed="false">
      <c r="A925" s="22"/>
      <c r="B925" s="22"/>
      <c r="C925" s="22"/>
      <c r="D925" s="22"/>
      <c r="E925" s="9"/>
      <c r="F925" s="9"/>
      <c r="G925" s="9"/>
      <c r="H925" s="20"/>
      <c r="I925" s="22"/>
    </row>
    <row r="926" customFormat="false" ht="15" hidden="false" customHeight="true" outlineLevel="0" collapsed="false">
      <c r="A926" s="22"/>
      <c r="B926" s="22"/>
      <c r="C926" s="22"/>
      <c r="D926" s="22"/>
      <c r="E926" s="9"/>
      <c r="F926" s="9"/>
      <c r="G926" s="9"/>
      <c r="H926" s="20"/>
      <c r="I926" s="22"/>
    </row>
    <row r="927" customFormat="false" ht="15" hidden="false" customHeight="true" outlineLevel="0" collapsed="false">
      <c r="A927" s="22"/>
      <c r="B927" s="22"/>
      <c r="C927" s="22"/>
      <c r="D927" s="22"/>
      <c r="E927" s="9"/>
      <c r="F927" s="9"/>
      <c r="G927" s="9"/>
      <c r="H927" s="20"/>
      <c r="I927" s="22"/>
    </row>
    <row r="928" customFormat="false" ht="15" hidden="false" customHeight="true" outlineLevel="0" collapsed="false">
      <c r="A928" s="22"/>
      <c r="B928" s="22"/>
      <c r="C928" s="22"/>
      <c r="D928" s="22"/>
      <c r="E928" s="9"/>
      <c r="F928" s="9"/>
      <c r="G928" s="9"/>
      <c r="H928" s="20"/>
      <c r="I928" s="22"/>
    </row>
    <row r="929" customFormat="false" ht="15" hidden="false" customHeight="true" outlineLevel="0" collapsed="false">
      <c r="A929" s="22"/>
      <c r="B929" s="22"/>
      <c r="C929" s="22"/>
      <c r="D929" s="22"/>
      <c r="E929" s="9"/>
      <c r="F929" s="9"/>
      <c r="G929" s="9"/>
      <c r="H929" s="20"/>
      <c r="I929" s="22"/>
    </row>
    <row r="930" customFormat="false" ht="15" hidden="false" customHeight="true" outlineLevel="0" collapsed="false">
      <c r="A930" s="22"/>
      <c r="B930" s="22"/>
      <c r="C930" s="22"/>
      <c r="D930" s="22"/>
      <c r="E930" s="9"/>
      <c r="F930" s="9"/>
      <c r="G930" s="9"/>
      <c r="H930" s="20"/>
      <c r="I930" s="22"/>
    </row>
    <row r="931" customFormat="false" ht="15" hidden="false" customHeight="true" outlineLevel="0" collapsed="false">
      <c r="A931" s="22"/>
      <c r="B931" s="22"/>
      <c r="C931" s="22"/>
      <c r="D931" s="22"/>
      <c r="E931" s="9"/>
      <c r="F931" s="9"/>
      <c r="G931" s="9"/>
      <c r="H931" s="20"/>
      <c r="I931" s="22"/>
    </row>
    <row r="932" customFormat="false" ht="15" hidden="false" customHeight="true" outlineLevel="0" collapsed="false">
      <c r="A932" s="22"/>
      <c r="B932" s="22"/>
      <c r="C932" s="22"/>
      <c r="D932" s="22"/>
      <c r="E932" s="9"/>
      <c r="F932" s="9"/>
      <c r="G932" s="9"/>
      <c r="H932" s="20"/>
      <c r="I932" s="22"/>
    </row>
    <row r="933" customFormat="false" ht="15" hidden="false" customHeight="true" outlineLevel="0" collapsed="false">
      <c r="A933" s="22"/>
      <c r="B933" s="22"/>
      <c r="C933" s="22"/>
      <c r="D933" s="22"/>
      <c r="E933" s="9"/>
      <c r="F933" s="9"/>
      <c r="G933" s="9"/>
      <c r="H933" s="20"/>
      <c r="I933" s="22"/>
    </row>
    <row r="934" customFormat="false" ht="15" hidden="false" customHeight="true" outlineLevel="0" collapsed="false">
      <c r="A934" s="22"/>
      <c r="B934" s="22"/>
      <c r="C934" s="22"/>
      <c r="D934" s="22"/>
      <c r="E934" s="9"/>
      <c r="F934" s="9"/>
      <c r="G934" s="9"/>
      <c r="H934" s="20"/>
      <c r="I934" s="22"/>
    </row>
    <row r="935" customFormat="false" ht="15" hidden="false" customHeight="true" outlineLevel="0" collapsed="false">
      <c r="A935" s="22"/>
      <c r="B935" s="22"/>
      <c r="C935" s="22"/>
      <c r="D935" s="22"/>
      <c r="E935" s="9"/>
      <c r="F935" s="9"/>
      <c r="G935" s="9"/>
      <c r="H935" s="20"/>
      <c r="I935" s="22"/>
    </row>
    <row r="936" customFormat="false" ht="15" hidden="false" customHeight="true" outlineLevel="0" collapsed="false">
      <c r="A936" s="22"/>
      <c r="B936" s="22"/>
      <c r="C936" s="22"/>
      <c r="D936" s="22"/>
      <c r="E936" s="9"/>
      <c r="F936" s="9"/>
      <c r="G936" s="9"/>
      <c r="H936" s="20"/>
      <c r="I936" s="22"/>
    </row>
    <row r="937" customFormat="false" ht="15" hidden="false" customHeight="true" outlineLevel="0" collapsed="false">
      <c r="A937" s="22"/>
      <c r="B937" s="22"/>
      <c r="C937" s="22"/>
      <c r="D937" s="22"/>
      <c r="E937" s="9"/>
      <c r="F937" s="9"/>
      <c r="G937" s="9"/>
      <c r="H937" s="20"/>
      <c r="I937" s="22"/>
    </row>
    <row r="938" customFormat="false" ht="15" hidden="false" customHeight="true" outlineLevel="0" collapsed="false">
      <c r="A938" s="22"/>
      <c r="B938" s="22"/>
      <c r="C938" s="22"/>
      <c r="D938" s="22"/>
      <c r="E938" s="9"/>
      <c r="F938" s="9"/>
      <c r="G938" s="9"/>
      <c r="H938" s="20"/>
      <c r="I938" s="22"/>
    </row>
    <row r="939" customFormat="false" ht="15" hidden="false" customHeight="true" outlineLevel="0" collapsed="false">
      <c r="A939" s="22"/>
      <c r="B939" s="22"/>
      <c r="C939" s="22"/>
      <c r="D939" s="22"/>
      <c r="E939" s="9"/>
      <c r="F939" s="9"/>
      <c r="G939" s="9"/>
      <c r="H939" s="20"/>
      <c r="I939" s="22"/>
    </row>
    <row r="940" customFormat="false" ht="15" hidden="false" customHeight="true" outlineLevel="0" collapsed="false">
      <c r="A940" s="22"/>
      <c r="B940" s="22"/>
      <c r="C940" s="22"/>
      <c r="D940" s="22"/>
      <c r="E940" s="9"/>
      <c r="F940" s="9"/>
      <c r="G940" s="9"/>
      <c r="H940" s="20"/>
      <c r="I940" s="22"/>
    </row>
    <row r="941" customFormat="false" ht="15" hidden="false" customHeight="true" outlineLevel="0" collapsed="false">
      <c r="A941" s="22"/>
      <c r="B941" s="22"/>
      <c r="C941" s="22"/>
      <c r="D941" s="22"/>
      <c r="E941" s="9"/>
      <c r="F941" s="9"/>
      <c r="G941" s="9"/>
      <c r="H941" s="20"/>
      <c r="I941" s="22"/>
    </row>
    <row r="942" customFormat="false" ht="15" hidden="false" customHeight="true" outlineLevel="0" collapsed="false">
      <c r="A942" s="22"/>
      <c r="B942" s="22"/>
      <c r="C942" s="22"/>
      <c r="D942" s="22"/>
      <c r="E942" s="9"/>
      <c r="F942" s="9"/>
      <c r="G942" s="9"/>
      <c r="H942" s="20"/>
      <c r="I942" s="22"/>
    </row>
    <row r="943" customFormat="false" ht="15" hidden="false" customHeight="true" outlineLevel="0" collapsed="false">
      <c r="A943" s="22"/>
      <c r="B943" s="22"/>
      <c r="C943" s="22"/>
      <c r="D943" s="22"/>
      <c r="E943" s="9"/>
      <c r="F943" s="9"/>
      <c r="G943" s="9"/>
      <c r="H943" s="20"/>
      <c r="I943" s="22"/>
    </row>
    <row r="944" customFormat="false" ht="15" hidden="false" customHeight="true" outlineLevel="0" collapsed="false">
      <c r="A944" s="22"/>
      <c r="B944" s="22"/>
      <c r="C944" s="22"/>
      <c r="D944" s="22"/>
      <c r="E944" s="9"/>
      <c r="F944" s="9"/>
      <c r="G944" s="9"/>
      <c r="H944" s="20"/>
      <c r="I944" s="22"/>
    </row>
    <row r="945" customFormat="false" ht="15" hidden="false" customHeight="true" outlineLevel="0" collapsed="false">
      <c r="A945" s="22"/>
      <c r="B945" s="22"/>
      <c r="C945" s="22"/>
      <c r="D945" s="22"/>
      <c r="E945" s="9"/>
      <c r="F945" s="9"/>
      <c r="G945" s="9"/>
      <c r="H945" s="20"/>
      <c r="I945" s="22"/>
    </row>
    <row r="946" customFormat="false" ht="15" hidden="false" customHeight="true" outlineLevel="0" collapsed="false">
      <c r="A946" s="22"/>
      <c r="B946" s="22"/>
      <c r="C946" s="22"/>
      <c r="D946" s="22"/>
      <c r="E946" s="9"/>
      <c r="F946" s="9"/>
      <c r="G946" s="9"/>
      <c r="H946" s="20"/>
      <c r="I946" s="22"/>
    </row>
    <row r="947" customFormat="false" ht="15" hidden="false" customHeight="true" outlineLevel="0" collapsed="false">
      <c r="A947" s="22"/>
      <c r="B947" s="22"/>
      <c r="C947" s="22"/>
      <c r="D947" s="22"/>
      <c r="E947" s="9"/>
      <c r="F947" s="9"/>
      <c r="G947" s="9"/>
      <c r="H947" s="20"/>
      <c r="I947" s="22"/>
    </row>
    <row r="948" customFormat="false" ht="15" hidden="false" customHeight="true" outlineLevel="0" collapsed="false">
      <c r="A948" s="22"/>
      <c r="B948" s="22"/>
      <c r="C948" s="22"/>
      <c r="D948" s="22"/>
      <c r="E948" s="9"/>
      <c r="F948" s="9"/>
      <c r="G948" s="9"/>
      <c r="H948" s="20"/>
      <c r="I948" s="22"/>
    </row>
    <row r="949" customFormat="false" ht="15" hidden="false" customHeight="true" outlineLevel="0" collapsed="false">
      <c r="A949" s="22"/>
      <c r="B949" s="22"/>
      <c r="C949" s="22"/>
      <c r="D949" s="22"/>
      <c r="E949" s="9"/>
      <c r="F949" s="9"/>
      <c r="G949" s="9"/>
      <c r="H949" s="20"/>
      <c r="I949" s="22"/>
    </row>
    <row r="950" customFormat="false" ht="15" hidden="false" customHeight="true" outlineLevel="0" collapsed="false">
      <c r="A950" s="22"/>
      <c r="B950" s="22"/>
      <c r="C950" s="22"/>
      <c r="D950" s="22"/>
      <c r="E950" s="9"/>
      <c r="F950" s="9"/>
      <c r="G950" s="9"/>
      <c r="H950" s="20"/>
      <c r="I950" s="22"/>
    </row>
    <row r="951" customFormat="false" ht="15" hidden="false" customHeight="true" outlineLevel="0" collapsed="false">
      <c r="A951" s="22"/>
      <c r="B951" s="22"/>
      <c r="C951" s="22"/>
      <c r="D951" s="22"/>
      <c r="E951" s="9"/>
      <c r="F951" s="9"/>
      <c r="G951" s="9"/>
      <c r="H951" s="20"/>
      <c r="I951" s="22"/>
    </row>
    <row r="952" customFormat="false" ht="15" hidden="false" customHeight="true" outlineLevel="0" collapsed="false">
      <c r="A952" s="22"/>
      <c r="B952" s="22"/>
      <c r="C952" s="22"/>
      <c r="D952" s="22"/>
      <c r="E952" s="9"/>
      <c r="F952" s="9"/>
      <c r="G952" s="9"/>
      <c r="H952" s="20"/>
      <c r="I952" s="22"/>
    </row>
    <row r="953" customFormat="false" ht="15" hidden="false" customHeight="true" outlineLevel="0" collapsed="false">
      <c r="A953" s="22"/>
      <c r="B953" s="22"/>
      <c r="C953" s="22"/>
      <c r="D953" s="22"/>
      <c r="E953" s="9"/>
      <c r="F953" s="9"/>
      <c r="G953" s="9"/>
      <c r="H953" s="20"/>
      <c r="I953" s="22"/>
    </row>
    <row r="954" customFormat="false" ht="15" hidden="false" customHeight="true" outlineLevel="0" collapsed="false">
      <c r="A954" s="22"/>
      <c r="B954" s="22"/>
      <c r="C954" s="22"/>
      <c r="D954" s="22"/>
      <c r="E954" s="9"/>
      <c r="F954" s="9"/>
      <c r="G954" s="9"/>
      <c r="H954" s="20"/>
      <c r="I954" s="22"/>
    </row>
    <row r="955" customFormat="false" ht="15" hidden="false" customHeight="true" outlineLevel="0" collapsed="false">
      <c r="A955" s="22"/>
      <c r="B955" s="22"/>
      <c r="C955" s="22"/>
      <c r="D955" s="22"/>
      <c r="E955" s="9"/>
      <c r="F955" s="9"/>
      <c r="G955" s="9"/>
      <c r="H955" s="20"/>
      <c r="I955" s="22"/>
    </row>
    <row r="956" customFormat="false" ht="15" hidden="false" customHeight="true" outlineLevel="0" collapsed="false">
      <c r="A956" s="22"/>
      <c r="B956" s="22"/>
      <c r="C956" s="22"/>
      <c r="D956" s="22"/>
      <c r="E956" s="9"/>
      <c r="F956" s="9"/>
      <c r="G956" s="9"/>
      <c r="H956" s="20"/>
      <c r="I956" s="22"/>
    </row>
    <row r="957" customFormat="false" ht="15" hidden="false" customHeight="true" outlineLevel="0" collapsed="false">
      <c r="A957" s="22"/>
      <c r="B957" s="22"/>
      <c r="C957" s="22"/>
      <c r="D957" s="22"/>
      <c r="E957" s="9"/>
      <c r="F957" s="9"/>
      <c r="G957" s="9"/>
      <c r="H957" s="20"/>
      <c r="I957" s="22"/>
    </row>
    <row r="958" customFormat="false" ht="15" hidden="false" customHeight="true" outlineLevel="0" collapsed="false">
      <c r="A958" s="22"/>
      <c r="B958" s="22"/>
      <c r="C958" s="22"/>
      <c r="D958" s="22"/>
      <c r="E958" s="9"/>
      <c r="F958" s="9"/>
      <c r="G958" s="9"/>
      <c r="H958" s="20"/>
      <c r="I958" s="22"/>
    </row>
    <row r="959" customFormat="false" ht="15" hidden="false" customHeight="true" outlineLevel="0" collapsed="false">
      <c r="A959" s="22"/>
      <c r="B959" s="22"/>
      <c r="C959" s="22"/>
      <c r="D959" s="22"/>
      <c r="E959" s="9"/>
      <c r="F959" s="9"/>
      <c r="G959" s="9"/>
      <c r="H959" s="20"/>
      <c r="I959" s="22"/>
    </row>
    <row r="960" customFormat="false" ht="15" hidden="false" customHeight="true" outlineLevel="0" collapsed="false">
      <c r="A960" s="22"/>
      <c r="B960" s="22"/>
      <c r="C960" s="22"/>
      <c r="D960" s="22"/>
      <c r="E960" s="9"/>
      <c r="F960" s="9"/>
      <c r="G960" s="9"/>
      <c r="H960" s="20"/>
      <c r="I960" s="22"/>
    </row>
    <row r="961" customFormat="false" ht="15" hidden="false" customHeight="true" outlineLevel="0" collapsed="false">
      <c r="A961" s="22"/>
      <c r="B961" s="22"/>
      <c r="C961" s="22"/>
      <c r="D961" s="22"/>
      <c r="E961" s="9"/>
      <c r="F961" s="9"/>
      <c r="G961" s="9"/>
      <c r="H961" s="20"/>
      <c r="I961" s="22"/>
    </row>
    <row r="962" customFormat="false" ht="15" hidden="false" customHeight="true" outlineLevel="0" collapsed="false">
      <c r="A962" s="22"/>
      <c r="B962" s="22"/>
      <c r="C962" s="22"/>
      <c r="D962" s="22"/>
      <c r="E962" s="9"/>
      <c r="F962" s="9"/>
      <c r="G962" s="9"/>
      <c r="H962" s="20"/>
      <c r="I962" s="22"/>
    </row>
    <row r="963" customFormat="false" ht="15" hidden="false" customHeight="true" outlineLevel="0" collapsed="false">
      <c r="A963" s="22"/>
      <c r="B963" s="22"/>
      <c r="C963" s="22"/>
      <c r="D963" s="22"/>
      <c r="E963" s="9"/>
      <c r="F963" s="9"/>
      <c r="G963" s="9"/>
      <c r="H963" s="20"/>
      <c r="I963" s="22"/>
    </row>
    <row r="964" customFormat="false" ht="15" hidden="false" customHeight="true" outlineLevel="0" collapsed="false">
      <c r="A964" s="22"/>
      <c r="B964" s="22"/>
      <c r="C964" s="22"/>
      <c r="D964" s="22"/>
      <c r="E964" s="9"/>
      <c r="F964" s="9"/>
      <c r="G964" s="9"/>
      <c r="H964" s="20"/>
      <c r="I964" s="22"/>
    </row>
    <row r="965" customFormat="false" ht="15" hidden="false" customHeight="true" outlineLevel="0" collapsed="false">
      <c r="A965" s="22"/>
      <c r="B965" s="22"/>
      <c r="C965" s="22"/>
      <c r="D965" s="22"/>
      <c r="E965" s="9"/>
      <c r="F965" s="9"/>
      <c r="G965" s="9"/>
      <c r="H965" s="20"/>
      <c r="I965" s="22"/>
    </row>
    <row r="966" customFormat="false" ht="15" hidden="false" customHeight="true" outlineLevel="0" collapsed="false">
      <c r="A966" s="22"/>
      <c r="B966" s="22"/>
      <c r="C966" s="22"/>
      <c r="D966" s="22"/>
      <c r="E966" s="9"/>
      <c r="F966" s="9"/>
      <c r="G966" s="9"/>
      <c r="H966" s="20"/>
      <c r="I966" s="22"/>
    </row>
    <row r="967" customFormat="false" ht="15" hidden="false" customHeight="true" outlineLevel="0" collapsed="false">
      <c r="A967" s="22"/>
      <c r="B967" s="22"/>
      <c r="C967" s="22"/>
      <c r="D967" s="22"/>
      <c r="E967" s="9"/>
      <c r="F967" s="9"/>
      <c r="G967" s="9"/>
      <c r="H967" s="20"/>
      <c r="I967" s="22"/>
    </row>
    <row r="968" customFormat="false" ht="15" hidden="false" customHeight="true" outlineLevel="0" collapsed="false">
      <c r="A968" s="22"/>
      <c r="B968" s="22"/>
      <c r="C968" s="22"/>
      <c r="D968" s="22"/>
      <c r="E968" s="9"/>
      <c r="F968" s="9"/>
      <c r="G968" s="9"/>
      <c r="H968" s="20"/>
      <c r="I968" s="22"/>
    </row>
    <row r="969" customFormat="false" ht="15" hidden="false" customHeight="true" outlineLevel="0" collapsed="false">
      <c r="A969" s="22"/>
      <c r="B969" s="22"/>
      <c r="C969" s="22"/>
      <c r="D969" s="22"/>
      <c r="E969" s="9"/>
      <c r="F969" s="9"/>
      <c r="G969" s="9"/>
      <c r="H969" s="20"/>
      <c r="I969" s="22"/>
    </row>
    <row r="970" customFormat="false" ht="15" hidden="false" customHeight="true" outlineLevel="0" collapsed="false">
      <c r="A970" s="22"/>
      <c r="B970" s="22"/>
      <c r="C970" s="22"/>
      <c r="D970" s="22"/>
      <c r="E970" s="9"/>
      <c r="F970" s="9"/>
      <c r="G970" s="9"/>
      <c r="H970" s="20"/>
      <c r="I970" s="22"/>
    </row>
    <row r="971" customFormat="false" ht="15" hidden="false" customHeight="true" outlineLevel="0" collapsed="false">
      <c r="A971" s="22"/>
      <c r="B971" s="22"/>
      <c r="C971" s="22"/>
      <c r="D971" s="22"/>
      <c r="E971" s="9"/>
      <c r="F971" s="9"/>
      <c r="G971" s="9"/>
      <c r="H971" s="20"/>
      <c r="I971" s="22"/>
    </row>
    <row r="972" customFormat="false" ht="15" hidden="false" customHeight="true" outlineLevel="0" collapsed="false">
      <c r="A972" s="22"/>
      <c r="B972" s="22"/>
      <c r="C972" s="22"/>
      <c r="D972" s="22"/>
      <c r="E972" s="9"/>
      <c r="F972" s="9"/>
      <c r="G972" s="9"/>
      <c r="H972" s="20"/>
      <c r="I972" s="22"/>
    </row>
    <row r="973" customFormat="false" ht="15" hidden="false" customHeight="true" outlineLevel="0" collapsed="false">
      <c r="A973" s="22"/>
      <c r="B973" s="22"/>
      <c r="C973" s="22"/>
      <c r="D973" s="22"/>
      <c r="E973" s="9"/>
      <c r="F973" s="9"/>
      <c r="G973" s="9"/>
      <c r="H973" s="20"/>
      <c r="I973" s="22"/>
    </row>
    <row r="974" customFormat="false" ht="15" hidden="false" customHeight="true" outlineLevel="0" collapsed="false">
      <c r="A974" s="22"/>
      <c r="B974" s="22"/>
      <c r="C974" s="22"/>
      <c r="D974" s="22"/>
      <c r="E974" s="9"/>
      <c r="F974" s="9"/>
      <c r="G974" s="9"/>
      <c r="H974" s="20"/>
      <c r="I974" s="22"/>
    </row>
    <row r="975" customFormat="false" ht="15" hidden="false" customHeight="true" outlineLevel="0" collapsed="false">
      <c r="A975" s="22"/>
      <c r="B975" s="22"/>
      <c r="C975" s="22"/>
      <c r="D975" s="22"/>
      <c r="E975" s="9"/>
      <c r="F975" s="9"/>
      <c r="G975" s="9"/>
      <c r="H975" s="20"/>
      <c r="I975" s="22"/>
    </row>
    <row r="976" customFormat="false" ht="15" hidden="false" customHeight="true" outlineLevel="0" collapsed="false">
      <c r="A976" s="22"/>
      <c r="B976" s="22"/>
      <c r="C976" s="22"/>
      <c r="D976" s="22"/>
      <c r="E976" s="9"/>
      <c r="F976" s="9"/>
      <c r="G976" s="9"/>
      <c r="H976" s="20"/>
      <c r="I976" s="22"/>
    </row>
    <row r="977" customFormat="false" ht="15" hidden="false" customHeight="true" outlineLevel="0" collapsed="false">
      <c r="A977" s="22"/>
      <c r="B977" s="22"/>
      <c r="C977" s="22"/>
      <c r="D977" s="22"/>
      <c r="E977" s="9"/>
      <c r="F977" s="9"/>
      <c r="G977" s="9"/>
      <c r="H977" s="20"/>
      <c r="I977" s="22"/>
    </row>
    <row r="978" customFormat="false" ht="15" hidden="false" customHeight="true" outlineLevel="0" collapsed="false">
      <c r="A978" s="22"/>
      <c r="B978" s="22"/>
      <c r="C978" s="22"/>
      <c r="D978" s="22"/>
      <c r="E978" s="9"/>
      <c r="F978" s="9"/>
      <c r="G978" s="9"/>
      <c r="H978" s="20"/>
      <c r="I978" s="22"/>
    </row>
    <row r="979" customFormat="false" ht="15" hidden="false" customHeight="true" outlineLevel="0" collapsed="false">
      <c r="A979" s="22"/>
      <c r="B979" s="22"/>
      <c r="C979" s="22"/>
      <c r="D979" s="22"/>
      <c r="E979" s="9"/>
      <c r="F979" s="9"/>
      <c r="G979" s="9"/>
      <c r="H979" s="20"/>
      <c r="I979" s="22"/>
    </row>
    <row r="980" customFormat="false" ht="15" hidden="false" customHeight="true" outlineLevel="0" collapsed="false">
      <c r="A980" s="22"/>
      <c r="B980" s="22"/>
      <c r="C980" s="22"/>
      <c r="D980" s="22"/>
      <c r="E980" s="9"/>
      <c r="F980" s="9"/>
      <c r="G980" s="9"/>
      <c r="H980" s="20"/>
      <c r="I980" s="22"/>
    </row>
    <row r="981" customFormat="false" ht="15" hidden="false" customHeight="true" outlineLevel="0" collapsed="false">
      <c r="A981" s="22"/>
      <c r="B981" s="22"/>
      <c r="C981" s="22"/>
      <c r="D981" s="22"/>
      <c r="E981" s="9"/>
      <c r="F981" s="9"/>
      <c r="G981" s="9"/>
      <c r="H981" s="20"/>
      <c r="I981" s="22"/>
    </row>
    <row r="982" customFormat="false" ht="15" hidden="false" customHeight="true" outlineLevel="0" collapsed="false">
      <c r="A982" s="22"/>
      <c r="B982" s="22"/>
      <c r="C982" s="22"/>
      <c r="D982" s="22"/>
      <c r="E982" s="9"/>
      <c r="F982" s="9"/>
      <c r="G982" s="9"/>
      <c r="H982" s="20"/>
      <c r="I982" s="22"/>
    </row>
    <row r="983" customFormat="false" ht="15" hidden="false" customHeight="true" outlineLevel="0" collapsed="false">
      <c r="A983" s="22"/>
      <c r="B983" s="22"/>
      <c r="C983" s="22"/>
      <c r="D983" s="22"/>
      <c r="E983" s="9"/>
      <c r="F983" s="9"/>
      <c r="G983" s="9"/>
      <c r="H983" s="20"/>
      <c r="I983" s="22"/>
    </row>
    <row r="984" customFormat="false" ht="15" hidden="false" customHeight="true" outlineLevel="0" collapsed="false">
      <c r="A984" s="22"/>
      <c r="B984" s="22"/>
      <c r="C984" s="22"/>
      <c r="D984" s="22"/>
      <c r="E984" s="9"/>
      <c r="F984" s="9"/>
      <c r="G984" s="9"/>
      <c r="H984" s="20"/>
      <c r="I984" s="22"/>
    </row>
    <row r="985" customFormat="false" ht="15" hidden="false" customHeight="true" outlineLevel="0" collapsed="false">
      <c r="A985" s="22"/>
      <c r="B985" s="22"/>
      <c r="C985" s="22"/>
      <c r="D985" s="22"/>
      <c r="E985" s="9"/>
      <c r="F985" s="9"/>
      <c r="G985" s="9"/>
      <c r="H985" s="20"/>
      <c r="I985" s="22"/>
    </row>
    <row r="986" customFormat="false" ht="15" hidden="false" customHeight="true" outlineLevel="0" collapsed="false">
      <c r="A986" s="22"/>
      <c r="B986" s="22"/>
      <c r="C986" s="22"/>
      <c r="D986" s="22"/>
      <c r="E986" s="9"/>
      <c r="F986" s="9"/>
      <c r="G986" s="9"/>
      <c r="H986" s="20"/>
      <c r="I986" s="22"/>
    </row>
    <row r="987" customFormat="false" ht="15" hidden="false" customHeight="true" outlineLevel="0" collapsed="false">
      <c r="A987" s="22"/>
      <c r="B987" s="22"/>
      <c r="C987" s="22"/>
      <c r="D987" s="22"/>
      <c r="E987" s="9"/>
      <c r="F987" s="9"/>
      <c r="G987" s="9"/>
      <c r="H987" s="20"/>
      <c r="I987" s="22"/>
    </row>
    <row r="988" customFormat="false" ht="15" hidden="false" customHeight="true" outlineLevel="0" collapsed="false">
      <c r="A988" s="22"/>
      <c r="B988" s="22"/>
      <c r="C988" s="22"/>
      <c r="D988" s="22"/>
      <c r="E988" s="9"/>
      <c r="F988" s="9"/>
      <c r="G988" s="9"/>
      <c r="H988" s="20"/>
      <c r="I988" s="22"/>
    </row>
    <row r="989" customFormat="false" ht="15" hidden="false" customHeight="true" outlineLevel="0" collapsed="false">
      <c r="A989" s="22"/>
      <c r="B989" s="22"/>
      <c r="C989" s="22"/>
      <c r="D989" s="22"/>
      <c r="E989" s="9"/>
      <c r="F989" s="9"/>
      <c r="G989" s="9"/>
      <c r="H989" s="20"/>
      <c r="I989" s="22"/>
    </row>
    <row r="990" customFormat="false" ht="15" hidden="false" customHeight="true" outlineLevel="0" collapsed="false">
      <c r="A990" s="22"/>
      <c r="B990" s="22"/>
      <c r="C990" s="22"/>
      <c r="D990" s="22"/>
      <c r="E990" s="9"/>
      <c r="F990" s="9"/>
      <c r="G990" s="9"/>
      <c r="H990" s="20"/>
      <c r="I990" s="22"/>
    </row>
    <row r="991" customFormat="false" ht="15" hidden="false" customHeight="true" outlineLevel="0" collapsed="false">
      <c r="A991" s="22"/>
      <c r="B991" s="22"/>
      <c r="C991" s="22"/>
      <c r="D991" s="22"/>
      <c r="E991" s="9"/>
      <c r="F991" s="9"/>
      <c r="G991" s="9"/>
      <c r="H991" s="20"/>
      <c r="I991" s="22"/>
    </row>
    <row r="992" customFormat="false" ht="15" hidden="false" customHeight="true" outlineLevel="0" collapsed="false">
      <c r="A992" s="22"/>
      <c r="B992" s="22"/>
      <c r="C992" s="22"/>
      <c r="D992" s="22"/>
      <c r="E992" s="9"/>
      <c r="F992" s="9"/>
      <c r="G992" s="9"/>
      <c r="H992" s="20"/>
      <c r="I992" s="22"/>
    </row>
    <row r="993" customFormat="false" ht="15" hidden="false" customHeight="true" outlineLevel="0" collapsed="false">
      <c r="A993" s="22"/>
      <c r="B993" s="22"/>
      <c r="C993" s="22"/>
      <c r="D993" s="22"/>
      <c r="E993" s="9"/>
      <c r="F993" s="9"/>
      <c r="G993" s="9"/>
      <c r="H993" s="20"/>
      <c r="I993" s="22"/>
    </row>
    <row r="994" customFormat="false" ht="15" hidden="false" customHeight="true" outlineLevel="0" collapsed="false">
      <c r="A994" s="22"/>
      <c r="B994" s="22"/>
      <c r="C994" s="22"/>
      <c r="D994" s="22"/>
      <c r="E994" s="9"/>
      <c r="F994" s="9"/>
      <c r="G994" s="9"/>
      <c r="H994" s="20"/>
      <c r="I994" s="22"/>
    </row>
    <row r="995" customFormat="false" ht="15" hidden="false" customHeight="true" outlineLevel="0" collapsed="false">
      <c r="A995" s="22"/>
      <c r="B995" s="22"/>
      <c r="C995" s="22"/>
      <c r="D995" s="22"/>
      <c r="E995" s="9"/>
      <c r="F995" s="9"/>
      <c r="G995" s="9"/>
      <c r="H995" s="20"/>
      <c r="I995" s="22"/>
    </row>
    <row r="996" customFormat="false" ht="15" hidden="false" customHeight="true" outlineLevel="0" collapsed="false">
      <c r="A996" s="22"/>
      <c r="B996" s="22"/>
      <c r="C996" s="22"/>
      <c r="D996" s="22"/>
      <c r="E996" s="9"/>
      <c r="F996" s="9"/>
      <c r="G996" s="9"/>
      <c r="H996" s="20"/>
      <c r="I996" s="22"/>
    </row>
    <row r="997" customFormat="false" ht="15" hidden="false" customHeight="true" outlineLevel="0" collapsed="false">
      <c r="A997" s="22"/>
      <c r="B997" s="22"/>
      <c r="C997" s="22"/>
      <c r="D997" s="22"/>
      <c r="E997" s="9"/>
      <c r="F997" s="9"/>
      <c r="G997" s="9"/>
      <c r="H997" s="20"/>
      <c r="I997" s="22"/>
    </row>
    <row r="998" customFormat="false" ht="15" hidden="false" customHeight="true" outlineLevel="0" collapsed="false">
      <c r="A998" s="22"/>
      <c r="B998" s="22"/>
      <c r="C998" s="22"/>
      <c r="D998" s="22"/>
      <c r="E998" s="9"/>
      <c r="F998" s="9"/>
      <c r="G998" s="9"/>
      <c r="H998" s="20"/>
      <c r="I998" s="22"/>
    </row>
    <row r="999" customFormat="false" ht="15" hidden="false" customHeight="true" outlineLevel="0" collapsed="false">
      <c r="A999" s="22"/>
      <c r="B999" s="22"/>
      <c r="C999" s="22"/>
      <c r="D999" s="22"/>
      <c r="E999" s="9"/>
      <c r="F999" s="9"/>
      <c r="G999" s="9"/>
      <c r="H999" s="20"/>
      <c r="I999" s="22"/>
    </row>
    <row r="1000" customFormat="false" ht="15" hidden="false" customHeight="true" outlineLevel="0" collapsed="false">
      <c r="A1000" s="22"/>
      <c r="B1000" s="22"/>
      <c r="C1000" s="22"/>
      <c r="D1000" s="22"/>
      <c r="E1000" s="9"/>
      <c r="F1000" s="9"/>
      <c r="G1000" s="9"/>
      <c r="H1000" s="20"/>
      <c r="I1000" s="22"/>
    </row>
    <row r="1001" customFormat="false" ht="15" hidden="false" customHeight="true" outlineLevel="0" collapsed="false">
      <c r="A1001" s="22"/>
      <c r="B1001" s="22"/>
      <c r="C1001" s="22"/>
      <c r="D1001" s="22"/>
      <c r="E1001" s="9"/>
      <c r="F1001" s="9"/>
      <c r="G1001" s="9"/>
      <c r="H1001" s="20"/>
      <c r="I1001" s="22"/>
    </row>
  </sheetData>
  <autoFilter ref="A1:I1001"/>
  <dataValidations count="1">
    <dataValidation allowBlank="true" errorStyle="stop" operator="between" showDropDown="false" showErrorMessage="false" showInputMessage="false" sqref="H2:H1001" type="list">
      <formula1>"はい,たぶん,いいえ"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7" min="5" style="1" width="10"/>
    <col collapsed="false" customWidth="true" hidden="false" outlineLevel="0" max="9" min="8" style="1" width="11"/>
    <col collapsed="false" customWidth="true" hidden="false" outlineLevel="0" max="11" min="10" style="1" width="10"/>
    <col collapsed="false" customWidth="true" hidden="false" outlineLevel="0" max="15" min="12" style="1" width="7"/>
    <col collapsed="false" customWidth="true" hidden="false" outlineLevel="0" max="16" min="16" style="1" width="9"/>
    <col collapsed="false" customWidth="true" hidden="false" outlineLevel="0" max="17" min="17" style="1" width="30"/>
  </cols>
  <sheetData>
    <row r="1" customFormat="false" ht="36" hidden="false" customHeight="true" outlineLevel="0" collapsed="false">
      <c r="A1" s="17" t="s">
        <v>61</v>
      </c>
      <c r="B1" s="18" t="s">
        <v>62</v>
      </c>
      <c r="C1" s="18" t="s">
        <v>441</v>
      </c>
      <c r="D1" s="18" t="s">
        <v>442</v>
      </c>
      <c r="E1" s="18" t="s">
        <v>443</v>
      </c>
      <c r="F1" s="18" t="s">
        <v>444</v>
      </c>
      <c r="G1" s="18" t="s">
        <v>445</v>
      </c>
      <c r="H1" s="18" t="s">
        <v>446</v>
      </c>
      <c r="I1" s="18" t="s">
        <v>447</v>
      </c>
      <c r="J1" s="18" t="s">
        <v>448</v>
      </c>
      <c r="K1" s="18" t="s">
        <v>449</v>
      </c>
      <c r="L1" s="18" t="s">
        <v>450</v>
      </c>
      <c r="M1" s="18" t="s">
        <v>451</v>
      </c>
      <c r="N1" s="18" t="s">
        <v>452</v>
      </c>
      <c r="O1" s="18" t="s">
        <v>453</v>
      </c>
      <c r="P1" s="18" t="s">
        <v>454</v>
      </c>
      <c r="Q1" s="18" t="s">
        <v>69</v>
      </c>
    </row>
    <row r="2" customFormat="false" ht="15" hidden="false" customHeight="true" outlineLevel="0" collapsed="false">
      <c r="A2" s="19" t="n">
        <f aca="false">IF(B2="","",ROW()-1)</f>
        <v>1</v>
      </c>
      <c r="B2" s="20" t="s">
        <v>70</v>
      </c>
      <c r="C2" s="9"/>
      <c r="D2" s="19" t="n">
        <f aca="false">IF(B2="","",COUNTIFS(上位10件データ!$A:$A,$B2))</f>
        <v>10</v>
      </c>
      <c r="E2" s="28" t="n">
        <f aca="false">IF(OR(B2="",D2=0),"",AVERAGEIFS(上位10件データ!$G:$G,上位10件データ!$A:$A,$B2))</f>
        <v>210.625</v>
      </c>
      <c r="F2" s="28" t="n">
        <f aca="false">IF(OR(B2="",D2=0),"",SUMIFS(上位10件データ!$G:$G,上位10件データ!$A:$A,$B2))</f>
        <v>1685</v>
      </c>
      <c r="G2" s="28" t="n">
        <f aca="false">IF(OR(B2="",D2=0),"",AVERAGEIFS(上位10件データ!$E:$E,上位10件データ!$A:$A,$B2))</f>
        <v>1425.7</v>
      </c>
      <c r="H2" s="19" t="n">
        <f aca="false">IF(OR(B2="",D2=0),"",COUNTIFS(上位10件データ!$A:$A,$B2,上位10件データ!$F:$F,"&gt;=1000"))</f>
        <v>1</v>
      </c>
      <c r="I2" s="19" t="n">
        <f aca="false">IF(OR(B2="",D2=0),"",COUNTIFS(上位10件データ!$A:$A,$B2,上位10件データ!$F:$F,"&lt;100"))</f>
        <v>2</v>
      </c>
      <c r="J2" s="19" t="n">
        <f aca="false">IF(E2="","",COUNTIF(L2:O2,"○")+IF(P2&gt;=0.5,1,0))</f>
        <v>3</v>
      </c>
      <c r="K2" s="29" t="str">
        <f aca="false">IF(J2="","",IF(J2&gt;=設定!$B$19,"◎ 有力",IF(J2&gt;=設定!$B$20,"○ 候補",IF(J2&gt;=3,"△ 要検討","× 見送り"))))</f>
        <v>△ 要検討</v>
      </c>
      <c r="L2" s="19" t="str">
        <f aca="false">IF(E2="","",IF(E2&gt;=設定!$B$14,"○","×"))</f>
        <v>○</v>
      </c>
      <c r="M2" s="19" t="str">
        <f aca="false">IF(H2="","",IF(H2&lt;=設定!$B$15,"○","×"))</f>
        <v>○</v>
      </c>
      <c r="N2" s="19" t="str">
        <f aca="false">IF(I2="","",IF(I2&gt;=設定!$B$16,"○","×"))</f>
        <v>×</v>
      </c>
      <c r="O2" s="19" t="str">
        <f aca="false">IF(G2="","",IF(AND(G2&gt;=設定!$B$17,G2&lt;=設定!$B$18),"○","×"))</f>
        <v>×</v>
      </c>
      <c r="P2" s="30" t="n">
        <f aca="false">IF(OR(B2="",D2=0),"",COUNTIFS(上位10件データ!$A:$A,$B2,上位10件データ!$H:$H,"はい")/D2)</f>
        <v>0.9</v>
      </c>
      <c r="Q2" s="22" t="s">
        <v>455</v>
      </c>
    </row>
    <row r="3" customFormat="false" ht="15" hidden="false" customHeight="true" outlineLevel="0" collapsed="false">
      <c r="A3" s="19" t="str">
        <f aca="false">IF(B3="","",ROW()-1)</f>
        <v/>
      </c>
      <c r="B3" s="22"/>
      <c r="C3" s="9"/>
      <c r="D3" s="19" t="str">
        <f aca="false">IF(B3="","",COUNTIFS(上位10件データ!$A:$A,$B3))</f>
        <v/>
      </c>
      <c r="E3" s="28" t="str">
        <f aca="false">IF(OR(B3="",D3=0),"",AVERAGEIFS(上位10件データ!$G:$G,上位10件データ!$A:$A,$B3))</f>
        <v/>
      </c>
      <c r="F3" s="28" t="str">
        <f aca="false">IF(OR(B3="",D3=0),"",SUMIFS(上位10件データ!$G:$G,上位10件データ!$A:$A,$B3))</f>
        <v/>
      </c>
      <c r="G3" s="28" t="str">
        <f aca="false">IF(OR(B3="",D3=0),"",AVERAGEIFS(上位10件データ!$E:$E,上位10件データ!$A:$A,$B3))</f>
        <v/>
      </c>
      <c r="H3" s="19" t="str">
        <f aca="false">IF(OR(B3="",D3=0),"",COUNTIFS(上位10件データ!$A:$A,$B3,上位10件データ!$F:$F,"&gt;=1000"))</f>
        <v/>
      </c>
      <c r="I3" s="19" t="str">
        <f aca="false">IF(OR(B3="",D3=0),"",COUNTIFS(上位10件データ!$A:$A,$B3,上位10件データ!$F:$F,"&lt;100"))</f>
        <v/>
      </c>
      <c r="J3" s="19" t="str">
        <f aca="false">IF(E3="","",COUNTIF(L3:O3,"○")+IF(P3&gt;=0.5,1,0))</f>
        <v/>
      </c>
      <c r="K3" s="29" t="str">
        <f aca="false">IF(J3="","",IF(J3&gt;=設定!$B$19,"◎ 有力",IF(J3&gt;=設定!$B$20,"○ 候補",IF(J3&gt;=3,"△ 要検討","× 見送り"))))</f>
        <v/>
      </c>
      <c r="L3" s="19" t="str">
        <f aca="false">IF(E3="","",IF(E3&gt;=設定!$B$14,"○","×"))</f>
        <v/>
      </c>
      <c r="M3" s="19" t="str">
        <f aca="false">IF(H3="","",IF(H3&lt;=設定!$B$15,"○","×"))</f>
        <v/>
      </c>
      <c r="N3" s="19" t="str">
        <f aca="false">IF(I3="","",IF(I3&gt;=設定!$B$16,"○","×"))</f>
        <v/>
      </c>
      <c r="O3" s="19" t="str">
        <f aca="false">IF(G3="","",IF(AND(G3&gt;=設定!$B$17,G3&lt;=設定!$B$18),"○","×"))</f>
        <v/>
      </c>
      <c r="P3" s="30" t="str">
        <f aca="false">IF(OR(B3="",D3=0),"",COUNTIFS(上位10件データ!$A:$A,$B3,上位10件データ!$H:$H,"はい")/D3)</f>
        <v/>
      </c>
      <c r="Q3" s="22"/>
    </row>
    <row r="4" customFormat="false" ht="15" hidden="false" customHeight="true" outlineLevel="0" collapsed="false">
      <c r="A4" s="19" t="str">
        <f aca="false">IF(B4="","",ROW()-1)</f>
        <v/>
      </c>
      <c r="B4" s="22"/>
      <c r="C4" s="9"/>
      <c r="D4" s="19" t="str">
        <f aca="false">IF(B4="","",COUNTIFS(上位10件データ!$A:$A,$B4))</f>
        <v/>
      </c>
      <c r="E4" s="28" t="str">
        <f aca="false">IF(OR(B4="",D4=0),"",AVERAGEIFS(上位10件データ!$G:$G,上位10件データ!$A:$A,$B4))</f>
        <v/>
      </c>
      <c r="F4" s="28" t="str">
        <f aca="false">IF(OR(B4="",D4=0),"",SUMIFS(上位10件データ!$G:$G,上位10件データ!$A:$A,$B4))</f>
        <v/>
      </c>
      <c r="G4" s="28" t="str">
        <f aca="false">IF(OR(B4="",D4=0),"",AVERAGEIFS(上位10件データ!$E:$E,上位10件データ!$A:$A,$B4))</f>
        <v/>
      </c>
      <c r="H4" s="19" t="str">
        <f aca="false">IF(OR(B4="",D4=0),"",COUNTIFS(上位10件データ!$A:$A,$B4,上位10件データ!$F:$F,"&gt;=1000"))</f>
        <v/>
      </c>
      <c r="I4" s="19" t="str">
        <f aca="false">IF(OR(B4="",D4=0),"",COUNTIFS(上位10件データ!$A:$A,$B4,上位10件データ!$F:$F,"&lt;100"))</f>
        <v/>
      </c>
      <c r="J4" s="19" t="str">
        <f aca="false">IF(E4="","",COUNTIF(L4:O4,"○")+IF(P4&gt;=0.5,1,0))</f>
        <v/>
      </c>
      <c r="K4" s="29" t="str">
        <f aca="false">IF(J4="","",IF(J4&gt;=設定!$B$19,"◎ 有力",IF(J4&gt;=設定!$B$20,"○ 候補",IF(J4&gt;=3,"△ 要検討","× 見送り"))))</f>
        <v/>
      </c>
      <c r="L4" s="19" t="str">
        <f aca="false">IF(E4="","",IF(E4&gt;=設定!$B$14,"○","×"))</f>
        <v/>
      </c>
      <c r="M4" s="19" t="str">
        <f aca="false">IF(H4="","",IF(H4&lt;=設定!$B$15,"○","×"))</f>
        <v/>
      </c>
      <c r="N4" s="19" t="str">
        <f aca="false">IF(I4="","",IF(I4&gt;=設定!$B$16,"○","×"))</f>
        <v/>
      </c>
      <c r="O4" s="19" t="str">
        <f aca="false">IF(G4="","",IF(AND(G4&gt;=設定!$B$17,G4&lt;=設定!$B$18),"○","×"))</f>
        <v/>
      </c>
      <c r="P4" s="30" t="str">
        <f aca="false">IF(OR(B4="",D4=0),"",COUNTIFS(上位10件データ!$A:$A,$B4,上位10件データ!$H:$H,"はい")/D4)</f>
        <v/>
      </c>
      <c r="Q4" s="22"/>
    </row>
    <row r="5" customFormat="false" ht="15" hidden="false" customHeight="true" outlineLevel="0" collapsed="false">
      <c r="A5" s="19" t="str">
        <f aca="false">IF(B5="","",ROW()-1)</f>
        <v/>
      </c>
      <c r="B5" s="22"/>
      <c r="C5" s="9"/>
      <c r="D5" s="19" t="str">
        <f aca="false">IF(B5="","",COUNTIFS(上位10件データ!$A:$A,$B5))</f>
        <v/>
      </c>
      <c r="E5" s="28" t="str">
        <f aca="false">IF(OR(B5="",D5=0),"",AVERAGEIFS(上位10件データ!$G:$G,上位10件データ!$A:$A,$B5))</f>
        <v/>
      </c>
      <c r="F5" s="28" t="str">
        <f aca="false">IF(OR(B5="",D5=0),"",SUMIFS(上位10件データ!$G:$G,上位10件データ!$A:$A,$B5))</f>
        <v/>
      </c>
      <c r="G5" s="28" t="str">
        <f aca="false">IF(OR(B5="",D5=0),"",AVERAGEIFS(上位10件データ!$E:$E,上位10件データ!$A:$A,$B5))</f>
        <v/>
      </c>
      <c r="H5" s="19" t="str">
        <f aca="false">IF(OR(B5="",D5=0),"",COUNTIFS(上位10件データ!$A:$A,$B5,上位10件データ!$F:$F,"&gt;=1000"))</f>
        <v/>
      </c>
      <c r="I5" s="19" t="str">
        <f aca="false">IF(OR(B5="",D5=0),"",COUNTIFS(上位10件データ!$A:$A,$B5,上位10件データ!$F:$F,"&lt;100"))</f>
        <v/>
      </c>
      <c r="J5" s="19" t="str">
        <f aca="false">IF(E5="","",COUNTIF(L5:O5,"○")+IF(P5&gt;=0.5,1,0))</f>
        <v/>
      </c>
      <c r="K5" s="29" t="str">
        <f aca="false">IF(J5="","",IF(J5&gt;=設定!$B$19,"◎ 有力",IF(J5&gt;=設定!$B$20,"○ 候補",IF(J5&gt;=3,"△ 要検討","× 見送り"))))</f>
        <v/>
      </c>
      <c r="L5" s="19" t="str">
        <f aca="false">IF(E5="","",IF(E5&gt;=設定!$B$14,"○","×"))</f>
        <v/>
      </c>
      <c r="M5" s="19" t="str">
        <f aca="false">IF(H5="","",IF(H5&lt;=設定!$B$15,"○","×"))</f>
        <v/>
      </c>
      <c r="N5" s="19" t="str">
        <f aca="false">IF(I5="","",IF(I5&gt;=設定!$B$16,"○","×"))</f>
        <v/>
      </c>
      <c r="O5" s="19" t="str">
        <f aca="false">IF(G5="","",IF(AND(G5&gt;=設定!$B$17,G5&lt;=設定!$B$18),"○","×"))</f>
        <v/>
      </c>
      <c r="P5" s="30" t="str">
        <f aca="false">IF(OR(B5="",D5=0),"",COUNTIFS(上位10件データ!$A:$A,$B5,上位10件データ!$H:$H,"はい")/D5)</f>
        <v/>
      </c>
      <c r="Q5" s="22"/>
    </row>
    <row r="6" customFormat="false" ht="15" hidden="false" customHeight="true" outlineLevel="0" collapsed="false">
      <c r="A6" s="19" t="str">
        <f aca="false">IF(B6="","",ROW()-1)</f>
        <v/>
      </c>
      <c r="B6" s="22"/>
      <c r="C6" s="9"/>
      <c r="D6" s="19" t="str">
        <f aca="false">IF(B6="","",COUNTIFS(上位10件データ!$A:$A,$B6))</f>
        <v/>
      </c>
      <c r="E6" s="28" t="str">
        <f aca="false">IF(OR(B6="",D6=0),"",AVERAGEIFS(上位10件データ!$G:$G,上位10件データ!$A:$A,$B6))</f>
        <v/>
      </c>
      <c r="F6" s="28" t="str">
        <f aca="false">IF(OR(B6="",D6=0),"",SUMIFS(上位10件データ!$G:$G,上位10件データ!$A:$A,$B6))</f>
        <v/>
      </c>
      <c r="G6" s="28" t="str">
        <f aca="false">IF(OR(B6="",D6=0),"",AVERAGEIFS(上位10件データ!$E:$E,上位10件データ!$A:$A,$B6))</f>
        <v/>
      </c>
      <c r="H6" s="19" t="str">
        <f aca="false">IF(OR(B6="",D6=0),"",COUNTIFS(上位10件データ!$A:$A,$B6,上位10件データ!$F:$F,"&gt;=1000"))</f>
        <v/>
      </c>
      <c r="I6" s="19" t="str">
        <f aca="false">IF(OR(B6="",D6=0),"",COUNTIFS(上位10件データ!$A:$A,$B6,上位10件データ!$F:$F,"&lt;100"))</f>
        <v/>
      </c>
      <c r="J6" s="19" t="str">
        <f aca="false">IF(E6="","",COUNTIF(L6:O6,"○")+IF(P6&gt;=0.5,1,0))</f>
        <v/>
      </c>
      <c r="K6" s="29" t="str">
        <f aca="false">IF(J6="","",IF(J6&gt;=設定!$B$19,"◎ 有力",IF(J6&gt;=設定!$B$20,"○ 候補",IF(J6&gt;=3,"△ 要検討","× 見送り"))))</f>
        <v/>
      </c>
      <c r="L6" s="19" t="str">
        <f aca="false">IF(E6="","",IF(E6&gt;=設定!$B$14,"○","×"))</f>
        <v/>
      </c>
      <c r="M6" s="19" t="str">
        <f aca="false">IF(H6="","",IF(H6&lt;=設定!$B$15,"○","×"))</f>
        <v/>
      </c>
      <c r="N6" s="19" t="str">
        <f aca="false">IF(I6="","",IF(I6&gt;=設定!$B$16,"○","×"))</f>
        <v/>
      </c>
      <c r="O6" s="19" t="str">
        <f aca="false">IF(G6="","",IF(AND(G6&gt;=設定!$B$17,G6&lt;=設定!$B$18),"○","×"))</f>
        <v/>
      </c>
      <c r="P6" s="30" t="str">
        <f aca="false">IF(OR(B6="",D6=0),"",COUNTIFS(上位10件データ!$A:$A,$B6,上位10件データ!$H:$H,"はい")/D6)</f>
        <v/>
      </c>
      <c r="Q6" s="22"/>
    </row>
    <row r="7" customFormat="false" ht="15" hidden="false" customHeight="true" outlineLevel="0" collapsed="false">
      <c r="A7" s="19" t="str">
        <f aca="false">IF(B7="","",ROW()-1)</f>
        <v/>
      </c>
      <c r="B7" s="22"/>
      <c r="C7" s="9"/>
      <c r="D7" s="19" t="str">
        <f aca="false">IF(B7="","",COUNTIFS(上位10件データ!$A:$A,$B7))</f>
        <v/>
      </c>
      <c r="E7" s="28" t="str">
        <f aca="false">IF(OR(B7="",D7=0),"",AVERAGEIFS(上位10件データ!$G:$G,上位10件データ!$A:$A,$B7))</f>
        <v/>
      </c>
      <c r="F7" s="28" t="str">
        <f aca="false">IF(OR(B7="",D7=0),"",SUMIFS(上位10件データ!$G:$G,上位10件データ!$A:$A,$B7))</f>
        <v/>
      </c>
      <c r="G7" s="28" t="str">
        <f aca="false">IF(OR(B7="",D7=0),"",AVERAGEIFS(上位10件データ!$E:$E,上位10件データ!$A:$A,$B7))</f>
        <v/>
      </c>
      <c r="H7" s="19" t="str">
        <f aca="false">IF(OR(B7="",D7=0),"",COUNTIFS(上位10件データ!$A:$A,$B7,上位10件データ!$F:$F,"&gt;=1000"))</f>
        <v/>
      </c>
      <c r="I7" s="19" t="str">
        <f aca="false">IF(OR(B7="",D7=0),"",COUNTIFS(上位10件データ!$A:$A,$B7,上位10件データ!$F:$F,"&lt;100"))</f>
        <v/>
      </c>
      <c r="J7" s="19" t="str">
        <f aca="false">IF(E7="","",COUNTIF(L7:O7,"○")+IF(P7&gt;=0.5,1,0))</f>
        <v/>
      </c>
      <c r="K7" s="29" t="str">
        <f aca="false">IF(J7="","",IF(J7&gt;=設定!$B$19,"◎ 有力",IF(J7&gt;=設定!$B$20,"○ 候補",IF(J7&gt;=3,"△ 要検討","× 見送り"))))</f>
        <v/>
      </c>
      <c r="L7" s="19" t="str">
        <f aca="false">IF(E7="","",IF(E7&gt;=設定!$B$14,"○","×"))</f>
        <v/>
      </c>
      <c r="M7" s="19" t="str">
        <f aca="false">IF(H7="","",IF(H7&lt;=設定!$B$15,"○","×"))</f>
        <v/>
      </c>
      <c r="N7" s="19" t="str">
        <f aca="false">IF(I7="","",IF(I7&gt;=設定!$B$16,"○","×"))</f>
        <v/>
      </c>
      <c r="O7" s="19" t="str">
        <f aca="false">IF(G7="","",IF(AND(G7&gt;=設定!$B$17,G7&lt;=設定!$B$18),"○","×"))</f>
        <v/>
      </c>
      <c r="P7" s="30" t="str">
        <f aca="false">IF(OR(B7="",D7=0),"",COUNTIFS(上位10件データ!$A:$A,$B7,上位10件データ!$H:$H,"はい")/D7)</f>
        <v/>
      </c>
      <c r="Q7" s="22"/>
    </row>
    <row r="8" customFormat="false" ht="15" hidden="false" customHeight="true" outlineLevel="0" collapsed="false">
      <c r="A8" s="19" t="str">
        <f aca="false">IF(B8="","",ROW()-1)</f>
        <v/>
      </c>
      <c r="B8" s="22"/>
      <c r="C8" s="9"/>
      <c r="D8" s="19" t="str">
        <f aca="false">IF(B8="","",COUNTIFS(上位10件データ!$A:$A,$B8))</f>
        <v/>
      </c>
      <c r="E8" s="28" t="str">
        <f aca="false">IF(OR(B8="",D8=0),"",AVERAGEIFS(上位10件データ!$G:$G,上位10件データ!$A:$A,$B8))</f>
        <v/>
      </c>
      <c r="F8" s="28" t="str">
        <f aca="false">IF(OR(B8="",D8=0),"",SUMIFS(上位10件データ!$G:$G,上位10件データ!$A:$A,$B8))</f>
        <v/>
      </c>
      <c r="G8" s="28" t="str">
        <f aca="false">IF(OR(B8="",D8=0),"",AVERAGEIFS(上位10件データ!$E:$E,上位10件データ!$A:$A,$B8))</f>
        <v/>
      </c>
      <c r="H8" s="19" t="str">
        <f aca="false">IF(OR(B8="",D8=0),"",COUNTIFS(上位10件データ!$A:$A,$B8,上位10件データ!$F:$F,"&gt;=1000"))</f>
        <v/>
      </c>
      <c r="I8" s="19" t="str">
        <f aca="false">IF(OR(B8="",D8=0),"",COUNTIFS(上位10件データ!$A:$A,$B8,上位10件データ!$F:$F,"&lt;100"))</f>
        <v/>
      </c>
      <c r="J8" s="19" t="str">
        <f aca="false">IF(E8="","",COUNTIF(L8:O8,"○")+IF(P8&gt;=0.5,1,0))</f>
        <v/>
      </c>
      <c r="K8" s="29" t="str">
        <f aca="false">IF(J8="","",IF(J8&gt;=設定!$B$19,"◎ 有力",IF(J8&gt;=設定!$B$20,"○ 候補",IF(J8&gt;=3,"△ 要検討","× 見送り"))))</f>
        <v/>
      </c>
      <c r="L8" s="19" t="str">
        <f aca="false">IF(E8="","",IF(E8&gt;=設定!$B$14,"○","×"))</f>
        <v/>
      </c>
      <c r="M8" s="19" t="str">
        <f aca="false">IF(H8="","",IF(H8&lt;=設定!$B$15,"○","×"))</f>
        <v/>
      </c>
      <c r="N8" s="19" t="str">
        <f aca="false">IF(I8="","",IF(I8&gt;=設定!$B$16,"○","×"))</f>
        <v/>
      </c>
      <c r="O8" s="19" t="str">
        <f aca="false">IF(G8="","",IF(AND(G8&gt;=設定!$B$17,G8&lt;=設定!$B$18),"○","×"))</f>
        <v/>
      </c>
      <c r="P8" s="30" t="str">
        <f aca="false">IF(OR(B8="",D8=0),"",COUNTIFS(上位10件データ!$A:$A,$B8,上位10件データ!$H:$H,"はい")/D8)</f>
        <v/>
      </c>
      <c r="Q8" s="22"/>
    </row>
    <row r="9" customFormat="false" ht="15" hidden="false" customHeight="true" outlineLevel="0" collapsed="false">
      <c r="A9" s="19" t="str">
        <f aca="false">IF(B9="","",ROW()-1)</f>
        <v/>
      </c>
      <c r="B9" s="22"/>
      <c r="C9" s="9"/>
      <c r="D9" s="19" t="str">
        <f aca="false">IF(B9="","",COUNTIFS(上位10件データ!$A:$A,$B9))</f>
        <v/>
      </c>
      <c r="E9" s="28" t="str">
        <f aca="false">IF(OR(B9="",D9=0),"",AVERAGEIFS(上位10件データ!$G:$G,上位10件データ!$A:$A,$B9))</f>
        <v/>
      </c>
      <c r="F9" s="28" t="str">
        <f aca="false">IF(OR(B9="",D9=0),"",SUMIFS(上位10件データ!$G:$G,上位10件データ!$A:$A,$B9))</f>
        <v/>
      </c>
      <c r="G9" s="28" t="str">
        <f aca="false">IF(OR(B9="",D9=0),"",AVERAGEIFS(上位10件データ!$E:$E,上位10件データ!$A:$A,$B9))</f>
        <v/>
      </c>
      <c r="H9" s="19" t="str">
        <f aca="false">IF(OR(B9="",D9=0),"",COUNTIFS(上位10件データ!$A:$A,$B9,上位10件データ!$F:$F,"&gt;=1000"))</f>
        <v/>
      </c>
      <c r="I9" s="19" t="str">
        <f aca="false">IF(OR(B9="",D9=0),"",COUNTIFS(上位10件データ!$A:$A,$B9,上位10件データ!$F:$F,"&lt;100"))</f>
        <v/>
      </c>
      <c r="J9" s="19" t="str">
        <f aca="false">IF(E9="","",COUNTIF(L9:O9,"○")+IF(P9&gt;=0.5,1,0))</f>
        <v/>
      </c>
      <c r="K9" s="29" t="str">
        <f aca="false">IF(J9="","",IF(J9&gt;=設定!$B$19,"◎ 有力",IF(J9&gt;=設定!$B$20,"○ 候補",IF(J9&gt;=3,"△ 要検討","× 見送り"))))</f>
        <v/>
      </c>
      <c r="L9" s="19" t="str">
        <f aca="false">IF(E9="","",IF(E9&gt;=設定!$B$14,"○","×"))</f>
        <v/>
      </c>
      <c r="M9" s="19" t="str">
        <f aca="false">IF(H9="","",IF(H9&lt;=設定!$B$15,"○","×"))</f>
        <v/>
      </c>
      <c r="N9" s="19" t="str">
        <f aca="false">IF(I9="","",IF(I9&gt;=設定!$B$16,"○","×"))</f>
        <v/>
      </c>
      <c r="O9" s="19" t="str">
        <f aca="false">IF(G9="","",IF(AND(G9&gt;=設定!$B$17,G9&lt;=設定!$B$18),"○","×"))</f>
        <v/>
      </c>
      <c r="P9" s="30" t="str">
        <f aca="false">IF(OR(B9="",D9=0),"",COUNTIFS(上位10件データ!$A:$A,$B9,上位10件データ!$H:$H,"はい")/D9)</f>
        <v/>
      </c>
      <c r="Q9" s="22"/>
    </row>
    <row r="10" customFormat="false" ht="15" hidden="false" customHeight="true" outlineLevel="0" collapsed="false">
      <c r="A10" s="19" t="str">
        <f aca="false">IF(B10="","",ROW()-1)</f>
        <v/>
      </c>
      <c r="B10" s="22"/>
      <c r="C10" s="9"/>
      <c r="D10" s="19" t="str">
        <f aca="false">IF(B10="","",COUNTIFS(上位10件データ!$A:$A,$B10))</f>
        <v/>
      </c>
      <c r="E10" s="28" t="str">
        <f aca="false">IF(OR(B10="",D10=0),"",AVERAGEIFS(上位10件データ!$G:$G,上位10件データ!$A:$A,$B10))</f>
        <v/>
      </c>
      <c r="F10" s="28" t="str">
        <f aca="false">IF(OR(B10="",D10=0),"",SUMIFS(上位10件データ!$G:$G,上位10件データ!$A:$A,$B10))</f>
        <v/>
      </c>
      <c r="G10" s="28" t="str">
        <f aca="false">IF(OR(B10="",D10=0),"",AVERAGEIFS(上位10件データ!$E:$E,上位10件データ!$A:$A,$B10))</f>
        <v/>
      </c>
      <c r="H10" s="19" t="str">
        <f aca="false">IF(OR(B10="",D10=0),"",COUNTIFS(上位10件データ!$A:$A,$B10,上位10件データ!$F:$F,"&gt;=1000"))</f>
        <v/>
      </c>
      <c r="I10" s="19" t="str">
        <f aca="false">IF(OR(B10="",D10=0),"",COUNTIFS(上位10件データ!$A:$A,$B10,上位10件データ!$F:$F,"&lt;100"))</f>
        <v/>
      </c>
      <c r="J10" s="19" t="str">
        <f aca="false">IF(E10="","",COUNTIF(L10:O10,"○")+IF(P10&gt;=0.5,1,0))</f>
        <v/>
      </c>
      <c r="K10" s="29" t="str">
        <f aca="false">IF(J10="","",IF(J10&gt;=設定!$B$19,"◎ 有力",IF(J10&gt;=設定!$B$20,"○ 候補",IF(J10&gt;=3,"△ 要検討","× 見送り"))))</f>
        <v/>
      </c>
      <c r="L10" s="19" t="str">
        <f aca="false">IF(E10="","",IF(E10&gt;=設定!$B$14,"○","×"))</f>
        <v/>
      </c>
      <c r="M10" s="19" t="str">
        <f aca="false">IF(H10="","",IF(H10&lt;=設定!$B$15,"○","×"))</f>
        <v/>
      </c>
      <c r="N10" s="19" t="str">
        <f aca="false">IF(I10="","",IF(I10&gt;=設定!$B$16,"○","×"))</f>
        <v/>
      </c>
      <c r="O10" s="19" t="str">
        <f aca="false">IF(G10="","",IF(AND(G10&gt;=設定!$B$17,G10&lt;=設定!$B$18),"○","×"))</f>
        <v/>
      </c>
      <c r="P10" s="30" t="str">
        <f aca="false">IF(OR(B10="",D10=0),"",COUNTIFS(上位10件データ!$A:$A,$B10,上位10件データ!$H:$H,"はい")/D10)</f>
        <v/>
      </c>
      <c r="Q10" s="22"/>
    </row>
    <row r="11" customFormat="false" ht="15" hidden="false" customHeight="true" outlineLevel="0" collapsed="false">
      <c r="A11" s="19" t="str">
        <f aca="false">IF(B11="","",ROW()-1)</f>
        <v/>
      </c>
      <c r="B11" s="22"/>
      <c r="C11" s="9"/>
      <c r="D11" s="19" t="str">
        <f aca="false">IF(B11="","",COUNTIFS(上位10件データ!$A:$A,$B11))</f>
        <v/>
      </c>
      <c r="E11" s="28" t="str">
        <f aca="false">IF(OR(B11="",D11=0),"",AVERAGEIFS(上位10件データ!$G:$G,上位10件データ!$A:$A,$B11))</f>
        <v/>
      </c>
      <c r="F11" s="28" t="str">
        <f aca="false">IF(OR(B11="",D11=0),"",SUMIFS(上位10件データ!$G:$G,上位10件データ!$A:$A,$B11))</f>
        <v/>
      </c>
      <c r="G11" s="28" t="str">
        <f aca="false">IF(OR(B11="",D11=0),"",AVERAGEIFS(上位10件データ!$E:$E,上位10件データ!$A:$A,$B11))</f>
        <v/>
      </c>
      <c r="H11" s="19" t="str">
        <f aca="false">IF(OR(B11="",D11=0),"",COUNTIFS(上位10件データ!$A:$A,$B11,上位10件データ!$F:$F,"&gt;=1000"))</f>
        <v/>
      </c>
      <c r="I11" s="19" t="str">
        <f aca="false">IF(OR(B11="",D11=0),"",COUNTIFS(上位10件データ!$A:$A,$B11,上位10件データ!$F:$F,"&lt;100"))</f>
        <v/>
      </c>
      <c r="J11" s="19" t="str">
        <f aca="false">IF(E11="","",COUNTIF(L11:O11,"○")+IF(P11&gt;=0.5,1,0))</f>
        <v/>
      </c>
      <c r="K11" s="29" t="str">
        <f aca="false">IF(J11="","",IF(J11&gt;=設定!$B$19,"◎ 有力",IF(J11&gt;=設定!$B$20,"○ 候補",IF(J11&gt;=3,"△ 要検討","× 見送り"))))</f>
        <v/>
      </c>
      <c r="L11" s="19" t="str">
        <f aca="false">IF(E11="","",IF(E11&gt;=設定!$B$14,"○","×"))</f>
        <v/>
      </c>
      <c r="M11" s="19" t="str">
        <f aca="false">IF(H11="","",IF(H11&lt;=設定!$B$15,"○","×"))</f>
        <v/>
      </c>
      <c r="N11" s="19" t="str">
        <f aca="false">IF(I11="","",IF(I11&gt;=設定!$B$16,"○","×"))</f>
        <v/>
      </c>
      <c r="O11" s="19" t="str">
        <f aca="false">IF(G11="","",IF(AND(G11&gt;=設定!$B$17,G11&lt;=設定!$B$18),"○","×"))</f>
        <v/>
      </c>
      <c r="P11" s="30" t="str">
        <f aca="false">IF(OR(B11="",D11=0),"",COUNTIFS(上位10件データ!$A:$A,$B11,上位10件データ!$H:$H,"はい")/D11)</f>
        <v/>
      </c>
      <c r="Q11" s="22"/>
    </row>
    <row r="12" customFormat="false" ht="15" hidden="false" customHeight="true" outlineLevel="0" collapsed="false">
      <c r="A12" s="19" t="str">
        <f aca="false">IF(B12="","",ROW()-1)</f>
        <v/>
      </c>
      <c r="B12" s="22"/>
      <c r="C12" s="9"/>
      <c r="D12" s="19" t="str">
        <f aca="false">IF(B12="","",COUNTIFS(上位10件データ!$A:$A,$B12))</f>
        <v/>
      </c>
      <c r="E12" s="28" t="str">
        <f aca="false">IF(OR(B12="",D12=0),"",AVERAGEIFS(上位10件データ!$G:$G,上位10件データ!$A:$A,$B12))</f>
        <v/>
      </c>
      <c r="F12" s="28" t="str">
        <f aca="false">IF(OR(B12="",D12=0),"",SUMIFS(上位10件データ!$G:$G,上位10件データ!$A:$A,$B12))</f>
        <v/>
      </c>
      <c r="G12" s="28" t="str">
        <f aca="false">IF(OR(B12="",D12=0),"",AVERAGEIFS(上位10件データ!$E:$E,上位10件データ!$A:$A,$B12))</f>
        <v/>
      </c>
      <c r="H12" s="19" t="str">
        <f aca="false">IF(OR(B12="",D12=0),"",COUNTIFS(上位10件データ!$A:$A,$B12,上位10件データ!$F:$F,"&gt;=1000"))</f>
        <v/>
      </c>
      <c r="I12" s="19" t="str">
        <f aca="false">IF(OR(B12="",D12=0),"",COUNTIFS(上位10件データ!$A:$A,$B12,上位10件データ!$F:$F,"&lt;100"))</f>
        <v/>
      </c>
      <c r="J12" s="19" t="str">
        <f aca="false">IF(E12="","",COUNTIF(L12:O12,"○")+IF(P12&gt;=0.5,1,0))</f>
        <v/>
      </c>
      <c r="K12" s="29" t="str">
        <f aca="false">IF(J12="","",IF(J12&gt;=設定!$B$19,"◎ 有力",IF(J12&gt;=設定!$B$20,"○ 候補",IF(J12&gt;=3,"△ 要検討","× 見送り"))))</f>
        <v/>
      </c>
      <c r="L12" s="19" t="str">
        <f aca="false">IF(E12="","",IF(E12&gt;=設定!$B$14,"○","×"))</f>
        <v/>
      </c>
      <c r="M12" s="19" t="str">
        <f aca="false">IF(H12="","",IF(H12&lt;=設定!$B$15,"○","×"))</f>
        <v/>
      </c>
      <c r="N12" s="19" t="str">
        <f aca="false">IF(I12="","",IF(I12&gt;=設定!$B$16,"○","×"))</f>
        <v/>
      </c>
      <c r="O12" s="19" t="str">
        <f aca="false">IF(G12="","",IF(AND(G12&gt;=設定!$B$17,G12&lt;=設定!$B$18),"○","×"))</f>
        <v/>
      </c>
      <c r="P12" s="30" t="str">
        <f aca="false">IF(OR(B12="",D12=0),"",COUNTIFS(上位10件データ!$A:$A,$B12,上位10件データ!$H:$H,"はい")/D12)</f>
        <v/>
      </c>
      <c r="Q12" s="22"/>
    </row>
    <row r="13" customFormat="false" ht="15" hidden="false" customHeight="true" outlineLevel="0" collapsed="false">
      <c r="A13" s="19" t="str">
        <f aca="false">IF(B13="","",ROW()-1)</f>
        <v/>
      </c>
      <c r="B13" s="22"/>
      <c r="C13" s="9"/>
      <c r="D13" s="19" t="str">
        <f aca="false">IF(B13="","",COUNTIFS(上位10件データ!$A:$A,$B13))</f>
        <v/>
      </c>
      <c r="E13" s="28" t="str">
        <f aca="false">IF(OR(B13="",D13=0),"",AVERAGEIFS(上位10件データ!$G:$G,上位10件データ!$A:$A,$B13))</f>
        <v/>
      </c>
      <c r="F13" s="28" t="str">
        <f aca="false">IF(OR(B13="",D13=0),"",SUMIFS(上位10件データ!$G:$G,上位10件データ!$A:$A,$B13))</f>
        <v/>
      </c>
      <c r="G13" s="28" t="str">
        <f aca="false">IF(OR(B13="",D13=0),"",AVERAGEIFS(上位10件データ!$E:$E,上位10件データ!$A:$A,$B13))</f>
        <v/>
      </c>
      <c r="H13" s="19" t="str">
        <f aca="false">IF(OR(B13="",D13=0),"",COUNTIFS(上位10件データ!$A:$A,$B13,上位10件データ!$F:$F,"&gt;=1000"))</f>
        <v/>
      </c>
      <c r="I13" s="19" t="str">
        <f aca="false">IF(OR(B13="",D13=0),"",COUNTIFS(上位10件データ!$A:$A,$B13,上位10件データ!$F:$F,"&lt;100"))</f>
        <v/>
      </c>
      <c r="J13" s="19" t="str">
        <f aca="false">IF(E13="","",COUNTIF(L13:O13,"○")+IF(P13&gt;=0.5,1,0))</f>
        <v/>
      </c>
      <c r="K13" s="29" t="str">
        <f aca="false">IF(J13="","",IF(J13&gt;=設定!$B$19,"◎ 有力",IF(J13&gt;=設定!$B$20,"○ 候補",IF(J13&gt;=3,"△ 要検討","× 見送り"))))</f>
        <v/>
      </c>
      <c r="L13" s="19" t="str">
        <f aca="false">IF(E13="","",IF(E13&gt;=設定!$B$14,"○","×"))</f>
        <v/>
      </c>
      <c r="M13" s="19" t="str">
        <f aca="false">IF(H13="","",IF(H13&lt;=設定!$B$15,"○","×"))</f>
        <v/>
      </c>
      <c r="N13" s="19" t="str">
        <f aca="false">IF(I13="","",IF(I13&gt;=設定!$B$16,"○","×"))</f>
        <v/>
      </c>
      <c r="O13" s="19" t="str">
        <f aca="false">IF(G13="","",IF(AND(G13&gt;=設定!$B$17,G13&lt;=設定!$B$18),"○","×"))</f>
        <v/>
      </c>
      <c r="P13" s="30" t="str">
        <f aca="false">IF(OR(B13="",D13=0),"",COUNTIFS(上位10件データ!$A:$A,$B13,上位10件データ!$H:$H,"はい")/D13)</f>
        <v/>
      </c>
      <c r="Q13" s="22"/>
    </row>
    <row r="14" customFormat="false" ht="15" hidden="false" customHeight="true" outlineLevel="0" collapsed="false">
      <c r="A14" s="19" t="str">
        <f aca="false">IF(B14="","",ROW()-1)</f>
        <v/>
      </c>
      <c r="B14" s="22"/>
      <c r="C14" s="9"/>
      <c r="D14" s="19" t="str">
        <f aca="false">IF(B14="","",COUNTIFS(上位10件データ!$A:$A,$B14))</f>
        <v/>
      </c>
      <c r="E14" s="28" t="str">
        <f aca="false">IF(OR(B14="",D14=0),"",AVERAGEIFS(上位10件データ!$G:$G,上位10件データ!$A:$A,$B14))</f>
        <v/>
      </c>
      <c r="F14" s="28" t="str">
        <f aca="false">IF(OR(B14="",D14=0),"",SUMIFS(上位10件データ!$G:$G,上位10件データ!$A:$A,$B14))</f>
        <v/>
      </c>
      <c r="G14" s="28" t="str">
        <f aca="false">IF(OR(B14="",D14=0),"",AVERAGEIFS(上位10件データ!$E:$E,上位10件データ!$A:$A,$B14))</f>
        <v/>
      </c>
      <c r="H14" s="19" t="str">
        <f aca="false">IF(OR(B14="",D14=0),"",COUNTIFS(上位10件データ!$A:$A,$B14,上位10件データ!$F:$F,"&gt;=1000"))</f>
        <v/>
      </c>
      <c r="I14" s="19" t="str">
        <f aca="false">IF(OR(B14="",D14=0),"",COUNTIFS(上位10件データ!$A:$A,$B14,上位10件データ!$F:$F,"&lt;100"))</f>
        <v/>
      </c>
      <c r="J14" s="19" t="str">
        <f aca="false">IF(E14="","",COUNTIF(L14:O14,"○")+IF(P14&gt;=0.5,1,0))</f>
        <v/>
      </c>
      <c r="K14" s="29" t="str">
        <f aca="false">IF(J14="","",IF(J14&gt;=設定!$B$19,"◎ 有力",IF(J14&gt;=設定!$B$20,"○ 候補",IF(J14&gt;=3,"△ 要検討","× 見送り"))))</f>
        <v/>
      </c>
      <c r="L14" s="19" t="str">
        <f aca="false">IF(E14="","",IF(E14&gt;=設定!$B$14,"○","×"))</f>
        <v/>
      </c>
      <c r="M14" s="19" t="str">
        <f aca="false">IF(H14="","",IF(H14&lt;=設定!$B$15,"○","×"))</f>
        <v/>
      </c>
      <c r="N14" s="19" t="str">
        <f aca="false">IF(I14="","",IF(I14&gt;=設定!$B$16,"○","×"))</f>
        <v/>
      </c>
      <c r="O14" s="19" t="str">
        <f aca="false">IF(G14="","",IF(AND(G14&gt;=設定!$B$17,G14&lt;=設定!$B$18),"○","×"))</f>
        <v/>
      </c>
      <c r="P14" s="30" t="str">
        <f aca="false">IF(OR(B14="",D14=0),"",COUNTIFS(上位10件データ!$A:$A,$B14,上位10件データ!$H:$H,"はい")/D14)</f>
        <v/>
      </c>
      <c r="Q14" s="22"/>
    </row>
    <row r="15" customFormat="false" ht="15" hidden="false" customHeight="true" outlineLevel="0" collapsed="false">
      <c r="A15" s="19" t="str">
        <f aca="false">IF(B15="","",ROW()-1)</f>
        <v/>
      </c>
      <c r="B15" s="22"/>
      <c r="C15" s="9"/>
      <c r="D15" s="19" t="str">
        <f aca="false">IF(B15="","",COUNTIFS(上位10件データ!$A:$A,$B15))</f>
        <v/>
      </c>
      <c r="E15" s="28" t="str">
        <f aca="false">IF(OR(B15="",D15=0),"",AVERAGEIFS(上位10件データ!$G:$G,上位10件データ!$A:$A,$B15))</f>
        <v/>
      </c>
      <c r="F15" s="28" t="str">
        <f aca="false">IF(OR(B15="",D15=0),"",SUMIFS(上位10件データ!$G:$G,上位10件データ!$A:$A,$B15))</f>
        <v/>
      </c>
      <c r="G15" s="28" t="str">
        <f aca="false">IF(OR(B15="",D15=0),"",AVERAGEIFS(上位10件データ!$E:$E,上位10件データ!$A:$A,$B15))</f>
        <v/>
      </c>
      <c r="H15" s="19" t="str">
        <f aca="false">IF(OR(B15="",D15=0),"",COUNTIFS(上位10件データ!$A:$A,$B15,上位10件データ!$F:$F,"&gt;=1000"))</f>
        <v/>
      </c>
      <c r="I15" s="19" t="str">
        <f aca="false">IF(OR(B15="",D15=0),"",COUNTIFS(上位10件データ!$A:$A,$B15,上位10件データ!$F:$F,"&lt;100"))</f>
        <v/>
      </c>
      <c r="J15" s="19" t="str">
        <f aca="false">IF(E15="","",COUNTIF(L15:O15,"○")+IF(P15&gt;=0.5,1,0))</f>
        <v/>
      </c>
      <c r="K15" s="29" t="str">
        <f aca="false">IF(J15="","",IF(J15&gt;=設定!$B$19,"◎ 有力",IF(J15&gt;=設定!$B$20,"○ 候補",IF(J15&gt;=3,"△ 要検討","× 見送り"))))</f>
        <v/>
      </c>
      <c r="L15" s="19" t="str">
        <f aca="false">IF(E15="","",IF(E15&gt;=設定!$B$14,"○","×"))</f>
        <v/>
      </c>
      <c r="M15" s="19" t="str">
        <f aca="false">IF(H15="","",IF(H15&lt;=設定!$B$15,"○","×"))</f>
        <v/>
      </c>
      <c r="N15" s="19" t="str">
        <f aca="false">IF(I15="","",IF(I15&gt;=設定!$B$16,"○","×"))</f>
        <v/>
      </c>
      <c r="O15" s="19" t="str">
        <f aca="false">IF(G15="","",IF(AND(G15&gt;=設定!$B$17,G15&lt;=設定!$B$18),"○","×"))</f>
        <v/>
      </c>
      <c r="P15" s="30" t="str">
        <f aca="false">IF(OR(B15="",D15=0),"",COUNTIFS(上位10件データ!$A:$A,$B15,上位10件データ!$H:$H,"はい")/D15)</f>
        <v/>
      </c>
      <c r="Q15" s="22"/>
    </row>
    <row r="16" customFormat="false" ht="15" hidden="false" customHeight="true" outlineLevel="0" collapsed="false">
      <c r="A16" s="19" t="str">
        <f aca="false">IF(B16="","",ROW()-1)</f>
        <v/>
      </c>
      <c r="B16" s="22"/>
      <c r="C16" s="9"/>
      <c r="D16" s="19" t="str">
        <f aca="false">IF(B16="","",COUNTIFS(上位10件データ!$A:$A,$B16))</f>
        <v/>
      </c>
      <c r="E16" s="28" t="str">
        <f aca="false">IF(OR(B16="",D16=0),"",AVERAGEIFS(上位10件データ!$G:$G,上位10件データ!$A:$A,$B16))</f>
        <v/>
      </c>
      <c r="F16" s="28" t="str">
        <f aca="false">IF(OR(B16="",D16=0),"",SUMIFS(上位10件データ!$G:$G,上位10件データ!$A:$A,$B16))</f>
        <v/>
      </c>
      <c r="G16" s="28" t="str">
        <f aca="false">IF(OR(B16="",D16=0),"",AVERAGEIFS(上位10件データ!$E:$E,上位10件データ!$A:$A,$B16))</f>
        <v/>
      </c>
      <c r="H16" s="19" t="str">
        <f aca="false">IF(OR(B16="",D16=0),"",COUNTIFS(上位10件データ!$A:$A,$B16,上位10件データ!$F:$F,"&gt;=1000"))</f>
        <v/>
      </c>
      <c r="I16" s="19" t="str">
        <f aca="false">IF(OR(B16="",D16=0),"",COUNTIFS(上位10件データ!$A:$A,$B16,上位10件データ!$F:$F,"&lt;100"))</f>
        <v/>
      </c>
      <c r="J16" s="19" t="str">
        <f aca="false">IF(E16="","",COUNTIF(L16:O16,"○")+IF(P16&gt;=0.5,1,0))</f>
        <v/>
      </c>
      <c r="K16" s="29" t="str">
        <f aca="false">IF(J16="","",IF(J16&gt;=設定!$B$19,"◎ 有力",IF(J16&gt;=設定!$B$20,"○ 候補",IF(J16&gt;=3,"△ 要検討","× 見送り"))))</f>
        <v/>
      </c>
      <c r="L16" s="19" t="str">
        <f aca="false">IF(E16="","",IF(E16&gt;=設定!$B$14,"○","×"))</f>
        <v/>
      </c>
      <c r="M16" s="19" t="str">
        <f aca="false">IF(H16="","",IF(H16&lt;=設定!$B$15,"○","×"))</f>
        <v/>
      </c>
      <c r="N16" s="19" t="str">
        <f aca="false">IF(I16="","",IF(I16&gt;=設定!$B$16,"○","×"))</f>
        <v/>
      </c>
      <c r="O16" s="19" t="str">
        <f aca="false">IF(G16="","",IF(AND(G16&gt;=設定!$B$17,G16&lt;=設定!$B$18),"○","×"))</f>
        <v/>
      </c>
      <c r="P16" s="30" t="str">
        <f aca="false">IF(OR(B16="",D16=0),"",COUNTIFS(上位10件データ!$A:$A,$B16,上位10件データ!$H:$H,"はい")/D16)</f>
        <v/>
      </c>
      <c r="Q16" s="22"/>
    </row>
    <row r="17" customFormat="false" ht="15" hidden="false" customHeight="true" outlineLevel="0" collapsed="false">
      <c r="A17" s="19" t="str">
        <f aca="false">IF(B17="","",ROW()-1)</f>
        <v/>
      </c>
      <c r="B17" s="22"/>
      <c r="C17" s="9"/>
      <c r="D17" s="19" t="str">
        <f aca="false">IF(B17="","",COUNTIFS(上位10件データ!$A:$A,$B17))</f>
        <v/>
      </c>
      <c r="E17" s="28" t="str">
        <f aca="false">IF(OR(B17="",D17=0),"",AVERAGEIFS(上位10件データ!$G:$G,上位10件データ!$A:$A,$B17))</f>
        <v/>
      </c>
      <c r="F17" s="28" t="str">
        <f aca="false">IF(OR(B17="",D17=0),"",SUMIFS(上位10件データ!$G:$G,上位10件データ!$A:$A,$B17))</f>
        <v/>
      </c>
      <c r="G17" s="28" t="str">
        <f aca="false">IF(OR(B17="",D17=0),"",AVERAGEIFS(上位10件データ!$E:$E,上位10件データ!$A:$A,$B17))</f>
        <v/>
      </c>
      <c r="H17" s="19" t="str">
        <f aca="false">IF(OR(B17="",D17=0),"",COUNTIFS(上位10件データ!$A:$A,$B17,上位10件データ!$F:$F,"&gt;=1000"))</f>
        <v/>
      </c>
      <c r="I17" s="19" t="str">
        <f aca="false">IF(OR(B17="",D17=0),"",COUNTIFS(上位10件データ!$A:$A,$B17,上位10件データ!$F:$F,"&lt;100"))</f>
        <v/>
      </c>
      <c r="J17" s="19" t="str">
        <f aca="false">IF(E17="","",COUNTIF(L17:O17,"○")+IF(P17&gt;=0.5,1,0))</f>
        <v/>
      </c>
      <c r="K17" s="29" t="str">
        <f aca="false">IF(J17="","",IF(J17&gt;=設定!$B$19,"◎ 有力",IF(J17&gt;=設定!$B$20,"○ 候補",IF(J17&gt;=3,"△ 要検討","× 見送り"))))</f>
        <v/>
      </c>
      <c r="L17" s="19" t="str">
        <f aca="false">IF(E17="","",IF(E17&gt;=設定!$B$14,"○","×"))</f>
        <v/>
      </c>
      <c r="M17" s="19" t="str">
        <f aca="false">IF(H17="","",IF(H17&lt;=設定!$B$15,"○","×"))</f>
        <v/>
      </c>
      <c r="N17" s="19" t="str">
        <f aca="false">IF(I17="","",IF(I17&gt;=設定!$B$16,"○","×"))</f>
        <v/>
      </c>
      <c r="O17" s="19" t="str">
        <f aca="false">IF(G17="","",IF(AND(G17&gt;=設定!$B$17,G17&lt;=設定!$B$18),"○","×"))</f>
        <v/>
      </c>
      <c r="P17" s="30" t="str">
        <f aca="false">IF(OR(B17="",D17=0),"",COUNTIFS(上位10件データ!$A:$A,$B17,上位10件データ!$H:$H,"はい")/D17)</f>
        <v/>
      </c>
      <c r="Q17" s="22"/>
    </row>
    <row r="18" customFormat="false" ht="15" hidden="false" customHeight="true" outlineLevel="0" collapsed="false">
      <c r="A18" s="19" t="str">
        <f aca="false">IF(B18="","",ROW()-1)</f>
        <v/>
      </c>
      <c r="B18" s="22"/>
      <c r="C18" s="9"/>
      <c r="D18" s="19" t="str">
        <f aca="false">IF(B18="","",COUNTIFS(上位10件データ!$A:$A,$B18))</f>
        <v/>
      </c>
      <c r="E18" s="28" t="str">
        <f aca="false">IF(OR(B18="",D18=0),"",AVERAGEIFS(上位10件データ!$G:$G,上位10件データ!$A:$A,$B18))</f>
        <v/>
      </c>
      <c r="F18" s="28" t="str">
        <f aca="false">IF(OR(B18="",D18=0),"",SUMIFS(上位10件データ!$G:$G,上位10件データ!$A:$A,$B18))</f>
        <v/>
      </c>
      <c r="G18" s="28" t="str">
        <f aca="false">IF(OR(B18="",D18=0),"",AVERAGEIFS(上位10件データ!$E:$E,上位10件データ!$A:$A,$B18))</f>
        <v/>
      </c>
      <c r="H18" s="19" t="str">
        <f aca="false">IF(OR(B18="",D18=0),"",COUNTIFS(上位10件データ!$A:$A,$B18,上位10件データ!$F:$F,"&gt;=1000"))</f>
        <v/>
      </c>
      <c r="I18" s="19" t="str">
        <f aca="false">IF(OR(B18="",D18=0),"",COUNTIFS(上位10件データ!$A:$A,$B18,上位10件データ!$F:$F,"&lt;100"))</f>
        <v/>
      </c>
      <c r="J18" s="19" t="str">
        <f aca="false">IF(E18="","",COUNTIF(L18:O18,"○")+IF(P18&gt;=0.5,1,0))</f>
        <v/>
      </c>
      <c r="K18" s="29" t="str">
        <f aca="false">IF(J18="","",IF(J18&gt;=設定!$B$19,"◎ 有力",IF(J18&gt;=設定!$B$20,"○ 候補",IF(J18&gt;=3,"△ 要検討","× 見送り"))))</f>
        <v/>
      </c>
      <c r="L18" s="19" t="str">
        <f aca="false">IF(E18="","",IF(E18&gt;=設定!$B$14,"○","×"))</f>
        <v/>
      </c>
      <c r="M18" s="19" t="str">
        <f aca="false">IF(H18="","",IF(H18&lt;=設定!$B$15,"○","×"))</f>
        <v/>
      </c>
      <c r="N18" s="19" t="str">
        <f aca="false">IF(I18="","",IF(I18&gt;=設定!$B$16,"○","×"))</f>
        <v/>
      </c>
      <c r="O18" s="19" t="str">
        <f aca="false">IF(G18="","",IF(AND(G18&gt;=設定!$B$17,G18&lt;=設定!$B$18),"○","×"))</f>
        <v/>
      </c>
      <c r="P18" s="30" t="str">
        <f aca="false">IF(OR(B18="",D18=0),"",COUNTIFS(上位10件データ!$A:$A,$B18,上位10件データ!$H:$H,"はい")/D18)</f>
        <v/>
      </c>
      <c r="Q18" s="22"/>
    </row>
    <row r="19" customFormat="false" ht="15" hidden="false" customHeight="true" outlineLevel="0" collapsed="false">
      <c r="A19" s="19" t="str">
        <f aca="false">IF(B19="","",ROW()-1)</f>
        <v/>
      </c>
      <c r="B19" s="22"/>
      <c r="C19" s="9"/>
      <c r="D19" s="19" t="str">
        <f aca="false">IF(B19="","",COUNTIFS(上位10件データ!$A:$A,$B19))</f>
        <v/>
      </c>
      <c r="E19" s="28" t="str">
        <f aca="false">IF(OR(B19="",D19=0),"",AVERAGEIFS(上位10件データ!$G:$G,上位10件データ!$A:$A,$B19))</f>
        <v/>
      </c>
      <c r="F19" s="28" t="str">
        <f aca="false">IF(OR(B19="",D19=0),"",SUMIFS(上位10件データ!$G:$G,上位10件データ!$A:$A,$B19))</f>
        <v/>
      </c>
      <c r="G19" s="28" t="str">
        <f aca="false">IF(OR(B19="",D19=0),"",AVERAGEIFS(上位10件データ!$E:$E,上位10件データ!$A:$A,$B19))</f>
        <v/>
      </c>
      <c r="H19" s="19" t="str">
        <f aca="false">IF(OR(B19="",D19=0),"",COUNTIFS(上位10件データ!$A:$A,$B19,上位10件データ!$F:$F,"&gt;=1000"))</f>
        <v/>
      </c>
      <c r="I19" s="19" t="str">
        <f aca="false">IF(OR(B19="",D19=0),"",COUNTIFS(上位10件データ!$A:$A,$B19,上位10件データ!$F:$F,"&lt;100"))</f>
        <v/>
      </c>
      <c r="J19" s="19" t="str">
        <f aca="false">IF(E19="","",COUNTIF(L19:O19,"○")+IF(P19&gt;=0.5,1,0))</f>
        <v/>
      </c>
      <c r="K19" s="29" t="str">
        <f aca="false">IF(J19="","",IF(J19&gt;=設定!$B$19,"◎ 有力",IF(J19&gt;=設定!$B$20,"○ 候補",IF(J19&gt;=3,"△ 要検討","× 見送り"))))</f>
        <v/>
      </c>
      <c r="L19" s="19" t="str">
        <f aca="false">IF(E19="","",IF(E19&gt;=設定!$B$14,"○","×"))</f>
        <v/>
      </c>
      <c r="M19" s="19" t="str">
        <f aca="false">IF(H19="","",IF(H19&lt;=設定!$B$15,"○","×"))</f>
        <v/>
      </c>
      <c r="N19" s="19" t="str">
        <f aca="false">IF(I19="","",IF(I19&gt;=設定!$B$16,"○","×"))</f>
        <v/>
      </c>
      <c r="O19" s="19" t="str">
        <f aca="false">IF(G19="","",IF(AND(G19&gt;=設定!$B$17,G19&lt;=設定!$B$18),"○","×"))</f>
        <v/>
      </c>
      <c r="P19" s="30" t="str">
        <f aca="false">IF(OR(B19="",D19=0),"",COUNTIFS(上位10件データ!$A:$A,$B19,上位10件データ!$H:$H,"はい")/D19)</f>
        <v/>
      </c>
      <c r="Q19" s="22"/>
    </row>
    <row r="20" customFormat="false" ht="15" hidden="false" customHeight="true" outlineLevel="0" collapsed="false">
      <c r="A20" s="19" t="str">
        <f aca="false">IF(B20="","",ROW()-1)</f>
        <v/>
      </c>
      <c r="B20" s="22"/>
      <c r="C20" s="9"/>
      <c r="D20" s="19" t="str">
        <f aca="false">IF(B20="","",COUNTIFS(上位10件データ!$A:$A,$B20))</f>
        <v/>
      </c>
      <c r="E20" s="28" t="str">
        <f aca="false">IF(OR(B20="",D20=0),"",AVERAGEIFS(上位10件データ!$G:$G,上位10件データ!$A:$A,$B20))</f>
        <v/>
      </c>
      <c r="F20" s="28" t="str">
        <f aca="false">IF(OR(B20="",D20=0),"",SUMIFS(上位10件データ!$G:$G,上位10件データ!$A:$A,$B20))</f>
        <v/>
      </c>
      <c r="G20" s="28" t="str">
        <f aca="false">IF(OR(B20="",D20=0),"",AVERAGEIFS(上位10件データ!$E:$E,上位10件データ!$A:$A,$B20))</f>
        <v/>
      </c>
      <c r="H20" s="19" t="str">
        <f aca="false">IF(OR(B20="",D20=0),"",COUNTIFS(上位10件データ!$A:$A,$B20,上位10件データ!$F:$F,"&gt;=1000"))</f>
        <v/>
      </c>
      <c r="I20" s="19" t="str">
        <f aca="false">IF(OR(B20="",D20=0),"",COUNTIFS(上位10件データ!$A:$A,$B20,上位10件データ!$F:$F,"&lt;100"))</f>
        <v/>
      </c>
      <c r="J20" s="19" t="str">
        <f aca="false">IF(E20="","",COUNTIF(L20:O20,"○")+IF(P20&gt;=0.5,1,0))</f>
        <v/>
      </c>
      <c r="K20" s="29" t="str">
        <f aca="false">IF(J20="","",IF(J20&gt;=設定!$B$19,"◎ 有力",IF(J20&gt;=設定!$B$20,"○ 候補",IF(J20&gt;=3,"△ 要検討","× 見送り"))))</f>
        <v/>
      </c>
      <c r="L20" s="19" t="str">
        <f aca="false">IF(E20="","",IF(E20&gt;=設定!$B$14,"○","×"))</f>
        <v/>
      </c>
      <c r="M20" s="19" t="str">
        <f aca="false">IF(H20="","",IF(H20&lt;=設定!$B$15,"○","×"))</f>
        <v/>
      </c>
      <c r="N20" s="19" t="str">
        <f aca="false">IF(I20="","",IF(I20&gt;=設定!$B$16,"○","×"))</f>
        <v/>
      </c>
      <c r="O20" s="19" t="str">
        <f aca="false">IF(G20="","",IF(AND(G20&gt;=設定!$B$17,G20&lt;=設定!$B$18),"○","×"))</f>
        <v/>
      </c>
      <c r="P20" s="30" t="str">
        <f aca="false">IF(OR(B20="",D20=0),"",COUNTIFS(上位10件データ!$A:$A,$B20,上位10件データ!$H:$H,"はい")/D20)</f>
        <v/>
      </c>
      <c r="Q20" s="22"/>
    </row>
    <row r="21" customFormat="false" ht="15" hidden="false" customHeight="true" outlineLevel="0" collapsed="false">
      <c r="A21" s="19" t="str">
        <f aca="false">IF(B21="","",ROW()-1)</f>
        <v/>
      </c>
      <c r="B21" s="22"/>
      <c r="C21" s="9"/>
      <c r="D21" s="19" t="str">
        <f aca="false">IF(B21="","",COUNTIFS(上位10件データ!$A:$A,$B21))</f>
        <v/>
      </c>
      <c r="E21" s="28" t="str">
        <f aca="false">IF(OR(B21="",D21=0),"",AVERAGEIFS(上位10件データ!$G:$G,上位10件データ!$A:$A,$B21))</f>
        <v/>
      </c>
      <c r="F21" s="28" t="str">
        <f aca="false">IF(OR(B21="",D21=0),"",SUMIFS(上位10件データ!$G:$G,上位10件データ!$A:$A,$B21))</f>
        <v/>
      </c>
      <c r="G21" s="28" t="str">
        <f aca="false">IF(OR(B21="",D21=0),"",AVERAGEIFS(上位10件データ!$E:$E,上位10件データ!$A:$A,$B21))</f>
        <v/>
      </c>
      <c r="H21" s="19" t="str">
        <f aca="false">IF(OR(B21="",D21=0),"",COUNTIFS(上位10件データ!$A:$A,$B21,上位10件データ!$F:$F,"&gt;=1000"))</f>
        <v/>
      </c>
      <c r="I21" s="19" t="str">
        <f aca="false">IF(OR(B21="",D21=0),"",COUNTIFS(上位10件データ!$A:$A,$B21,上位10件データ!$F:$F,"&lt;100"))</f>
        <v/>
      </c>
      <c r="J21" s="19" t="str">
        <f aca="false">IF(E21="","",COUNTIF(L21:O21,"○")+IF(P21&gt;=0.5,1,0))</f>
        <v/>
      </c>
      <c r="K21" s="29" t="str">
        <f aca="false">IF(J21="","",IF(J21&gt;=設定!$B$19,"◎ 有力",IF(J21&gt;=設定!$B$20,"○ 候補",IF(J21&gt;=3,"△ 要検討","× 見送り"))))</f>
        <v/>
      </c>
      <c r="L21" s="19" t="str">
        <f aca="false">IF(E21="","",IF(E21&gt;=設定!$B$14,"○","×"))</f>
        <v/>
      </c>
      <c r="M21" s="19" t="str">
        <f aca="false">IF(H21="","",IF(H21&lt;=設定!$B$15,"○","×"))</f>
        <v/>
      </c>
      <c r="N21" s="19" t="str">
        <f aca="false">IF(I21="","",IF(I21&gt;=設定!$B$16,"○","×"))</f>
        <v/>
      </c>
      <c r="O21" s="19" t="str">
        <f aca="false">IF(G21="","",IF(AND(G21&gt;=設定!$B$17,G21&lt;=設定!$B$18),"○","×"))</f>
        <v/>
      </c>
      <c r="P21" s="30" t="str">
        <f aca="false">IF(OR(B21="",D21=0),"",COUNTIFS(上位10件データ!$A:$A,$B21,上位10件データ!$H:$H,"はい")/D21)</f>
        <v/>
      </c>
      <c r="Q21" s="22"/>
    </row>
    <row r="22" customFormat="false" ht="15" hidden="false" customHeight="true" outlineLevel="0" collapsed="false">
      <c r="A22" s="19" t="str">
        <f aca="false">IF(B22="","",ROW()-1)</f>
        <v/>
      </c>
      <c r="B22" s="22"/>
      <c r="C22" s="9"/>
      <c r="D22" s="19" t="str">
        <f aca="false">IF(B22="","",COUNTIFS(上位10件データ!$A:$A,$B22))</f>
        <v/>
      </c>
      <c r="E22" s="28" t="str">
        <f aca="false">IF(OR(B22="",D22=0),"",AVERAGEIFS(上位10件データ!$G:$G,上位10件データ!$A:$A,$B22))</f>
        <v/>
      </c>
      <c r="F22" s="28" t="str">
        <f aca="false">IF(OR(B22="",D22=0),"",SUMIFS(上位10件データ!$G:$G,上位10件データ!$A:$A,$B22))</f>
        <v/>
      </c>
      <c r="G22" s="28" t="str">
        <f aca="false">IF(OR(B22="",D22=0),"",AVERAGEIFS(上位10件データ!$E:$E,上位10件データ!$A:$A,$B22))</f>
        <v/>
      </c>
      <c r="H22" s="19" t="str">
        <f aca="false">IF(OR(B22="",D22=0),"",COUNTIFS(上位10件データ!$A:$A,$B22,上位10件データ!$F:$F,"&gt;=1000"))</f>
        <v/>
      </c>
      <c r="I22" s="19" t="str">
        <f aca="false">IF(OR(B22="",D22=0),"",COUNTIFS(上位10件データ!$A:$A,$B22,上位10件データ!$F:$F,"&lt;100"))</f>
        <v/>
      </c>
      <c r="J22" s="19" t="str">
        <f aca="false">IF(E22="","",COUNTIF(L22:O22,"○")+IF(P22&gt;=0.5,1,0))</f>
        <v/>
      </c>
      <c r="K22" s="29" t="str">
        <f aca="false">IF(J22="","",IF(J22&gt;=設定!$B$19,"◎ 有力",IF(J22&gt;=設定!$B$20,"○ 候補",IF(J22&gt;=3,"△ 要検討","× 見送り"))))</f>
        <v/>
      </c>
      <c r="L22" s="19" t="str">
        <f aca="false">IF(E22="","",IF(E22&gt;=設定!$B$14,"○","×"))</f>
        <v/>
      </c>
      <c r="M22" s="19" t="str">
        <f aca="false">IF(H22="","",IF(H22&lt;=設定!$B$15,"○","×"))</f>
        <v/>
      </c>
      <c r="N22" s="19" t="str">
        <f aca="false">IF(I22="","",IF(I22&gt;=設定!$B$16,"○","×"))</f>
        <v/>
      </c>
      <c r="O22" s="19" t="str">
        <f aca="false">IF(G22="","",IF(AND(G22&gt;=設定!$B$17,G22&lt;=設定!$B$18),"○","×"))</f>
        <v/>
      </c>
      <c r="P22" s="30" t="str">
        <f aca="false">IF(OR(B22="",D22=0),"",COUNTIFS(上位10件データ!$A:$A,$B22,上位10件データ!$H:$H,"はい")/D22)</f>
        <v/>
      </c>
      <c r="Q22" s="22"/>
    </row>
    <row r="23" customFormat="false" ht="15" hidden="false" customHeight="true" outlineLevel="0" collapsed="false">
      <c r="A23" s="19" t="str">
        <f aca="false">IF(B23="","",ROW()-1)</f>
        <v/>
      </c>
      <c r="B23" s="22"/>
      <c r="C23" s="9"/>
      <c r="D23" s="19" t="str">
        <f aca="false">IF(B23="","",COUNTIFS(上位10件データ!$A:$A,$B23))</f>
        <v/>
      </c>
      <c r="E23" s="28" t="str">
        <f aca="false">IF(OR(B23="",D23=0),"",AVERAGEIFS(上位10件データ!$G:$G,上位10件データ!$A:$A,$B23))</f>
        <v/>
      </c>
      <c r="F23" s="28" t="str">
        <f aca="false">IF(OR(B23="",D23=0),"",SUMIFS(上位10件データ!$G:$G,上位10件データ!$A:$A,$B23))</f>
        <v/>
      </c>
      <c r="G23" s="28" t="str">
        <f aca="false">IF(OR(B23="",D23=0),"",AVERAGEIFS(上位10件データ!$E:$E,上位10件データ!$A:$A,$B23))</f>
        <v/>
      </c>
      <c r="H23" s="19" t="str">
        <f aca="false">IF(OR(B23="",D23=0),"",COUNTIFS(上位10件データ!$A:$A,$B23,上位10件データ!$F:$F,"&gt;=1000"))</f>
        <v/>
      </c>
      <c r="I23" s="19" t="str">
        <f aca="false">IF(OR(B23="",D23=0),"",COUNTIFS(上位10件データ!$A:$A,$B23,上位10件データ!$F:$F,"&lt;100"))</f>
        <v/>
      </c>
      <c r="J23" s="19" t="str">
        <f aca="false">IF(E23="","",COUNTIF(L23:O23,"○")+IF(P23&gt;=0.5,1,0))</f>
        <v/>
      </c>
      <c r="K23" s="29" t="str">
        <f aca="false">IF(J23="","",IF(J23&gt;=設定!$B$19,"◎ 有力",IF(J23&gt;=設定!$B$20,"○ 候補",IF(J23&gt;=3,"△ 要検討","× 見送り"))))</f>
        <v/>
      </c>
      <c r="L23" s="19" t="str">
        <f aca="false">IF(E23="","",IF(E23&gt;=設定!$B$14,"○","×"))</f>
        <v/>
      </c>
      <c r="M23" s="19" t="str">
        <f aca="false">IF(H23="","",IF(H23&lt;=設定!$B$15,"○","×"))</f>
        <v/>
      </c>
      <c r="N23" s="19" t="str">
        <f aca="false">IF(I23="","",IF(I23&gt;=設定!$B$16,"○","×"))</f>
        <v/>
      </c>
      <c r="O23" s="19" t="str">
        <f aca="false">IF(G23="","",IF(AND(G23&gt;=設定!$B$17,G23&lt;=設定!$B$18),"○","×"))</f>
        <v/>
      </c>
      <c r="P23" s="30" t="str">
        <f aca="false">IF(OR(B23="",D23=0),"",COUNTIFS(上位10件データ!$A:$A,$B23,上位10件データ!$H:$H,"はい")/D23)</f>
        <v/>
      </c>
      <c r="Q23" s="22"/>
    </row>
    <row r="24" customFormat="false" ht="15" hidden="false" customHeight="true" outlineLevel="0" collapsed="false">
      <c r="A24" s="19" t="str">
        <f aca="false">IF(B24="","",ROW()-1)</f>
        <v/>
      </c>
      <c r="B24" s="22"/>
      <c r="C24" s="9"/>
      <c r="D24" s="19" t="str">
        <f aca="false">IF(B24="","",COUNTIFS(上位10件データ!$A:$A,$B24))</f>
        <v/>
      </c>
      <c r="E24" s="28" t="str">
        <f aca="false">IF(OR(B24="",D24=0),"",AVERAGEIFS(上位10件データ!$G:$G,上位10件データ!$A:$A,$B24))</f>
        <v/>
      </c>
      <c r="F24" s="28" t="str">
        <f aca="false">IF(OR(B24="",D24=0),"",SUMIFS(上位10件データ!$G:$G,上位10件データ!$A:$A,$B24))</f>
        <v/>
      </c>
      <c r="G24" s="28" t="str">
        <f aca="false">IF(OR(B24="",D24=0),"",AVERAGEIFS(上位10件データ!$E:$E,上位10件データ!$A:$A,$B24))</f>
        <v/>
      </c>
      <c r="H24" s="19" t="str">
        <f aca="false">IF(OR(B24="",D24=0),"",COUNTIFS(上位10件データ!$A:$A,$B24,上位10件データ!$F:$F,"&gt;=1000"))</f>
        <v/>
      </c>
      <c r="I24" s="19" t="str">
        <f aca="false">IF(OR(B24="",D24=0),"",COUNTIFS(上位10件データ!$A:$A,$B24,上位10件データ!$F:$F,"&lt;100"))</f>
        <v/>
      </c>
      <c r="J24" s="19" t="str">
        <f aca="false">IF(E24="","",COUNTIF(L24:O24,"○")+IF(P24&gt;=0.5,1,0))</f>
        <v/>
      </c>
      <c r="K24" s="29" t="str">
        <f aca="false">IF(J24="","",IF(J24&gt;=設定!$B$19,"◎ 有力",IF(J24&gt;=設定!$B$20,"○ 候補",IF(J24&gt;=3,"△ 要検討","× 見送り"))))</f>
        <v/>
      </c>
      <c r="L24" s="19" t="str">
        <f aca="false">IF(E24="","",IF(E24&gt;=設定!$B$14,"○","×"))</f>
        <v/>
      </c>
      <c r="M24" s="19" t="str">
        <f aca="false">IF(H24="","",IF(H24&lt;=設定!$B$15,"○","×"))</f>
        <v/>
      </c>
      <c r="N24" s="19" t="str">
        <f aca="false">IF(I24="","",IF(I24&gt;=設定!$B$16,"○","×"))</f>
        <v/>
      </c>
      <c r="O24" s="19" t="str">
        <f aca="false">IF(G24="","",IF(AND(G24&gt;=設定!$B$17,G24&lt;=設定!$B$18),"○","×"))</f>
        <v/>
      </c>
      <c r="P24" s="30" t="str">
        <f aca="false">IF(OR(B24="",D24=0),"",COUNTIFS(上位10件データ!$A:$A,$B24,上位10件データ!$H:$H,"はい")/D24)</f>
        <v/>
      </c>
      <c r="Q24" s="22"/>
    </row>
    <row r="25" customFormat="false" ht="15" hidden="false" customHeight="true" outlineLevel="0" collapsed="false">
      <c r="A25" s="19" t="str">
        <f aca="false">IF(B25="","",ROW()-1)</f>
        <v/>
      </c>
      <c r="B25" s="22"/>
      <c r="C25" s="9"/>
      <c r="D25" s="19" t="str">
        <f aca="false">IF(B25="","",COUNTIFS(上位10件データ!$A:$A,$B25))</f>
        <v/>
      </c>
      <c r="E25" s="28" t="str">
        <f aca="false">IF(OR(B25="",D25=0),"",AVERAGEIFS(上位10件データ!$G:$G,上位10件データ!$A:$A,$B25))</f>
        <v/>
      </c>
      <c r="F25" s="28" t="str">
        <f aca="false">IF(OR(B25="",D25=0),"",SUMIFS(上位10件データ!$G:$G,上位10件データ!$A:$A,$B25))</f>
        <v/>
      </c>
      <c r="G25" s="28" t="str">
        <f aca="false">IF(OR(B25="",D25=0),"",AVERAGEIFS(上位10件データ!$E:$E,上位10件データ!$A:$A,$B25))</f>
        <v/>
      </c>
      <c r="H25" s="19" t="str">
        <f aca="false">IF(OR(B25="",D25=0),"",COUNTIFS(上位10件データ!$A:$A,$B25,上位10件データ!$F:$F,"&gt;=1000"))</f>
        <v/>
      </c>
      <c r="I25" s="19" t="str">
        <f aca="false">IF(OR(B25="",D25=0),"",COUNTIFS(上位10件データ!$A:$A,$B25,上位10件データ!$F:$F,"&lt;100"))</f>
        <v/>
      </c>
      <c r="J25" s="19" t="str">
        <f aca="false">IF(E25="","",COUNTIF(L25:O25,"○")+IF(P25&gt;=0.5,1,0))</f>
        <v/>
      </c>
      <c r="K25" s="29" t="str">
        <f aca="false">IF(J25="","",IF(J25&gt;=設定!$B$19,"◎ 有力",IF(J25&gt;=設定!$B$20,"○ 候補",IF(J25&gt;=3,"△ 要検討","× 見送り"))))</f>
        <v/>
      </c>
      <c r="L25" s="19" t="str">
        <f aca="false">IF(E25="","",IF(E25&gt;=設定!$B$14,"○","×"))</f>
        <v/>
      </c>
      <c r="M25" s="19" t="str">
        <f aca="false">IF(H25="","",IF(H25&lt;=設定!$B$15,"○","×"))</f>
        <v/>
      </c>
      <c r="N25" s="19" t="str">
        <f aca="false">IF(I25="","",IF(I25&gt;=設定!$B$16,"○","×"))</f>
        <v/>
      </c>
      <c r="O25" s="19" t="str">
        <f aca="false">IF(G25="","",IF(AND(G25&gt;=設定!$B$17,G25&lt;=設定!$B$18),"○","×"))</f>
        <v/>
      </c>
      <c r="P25" s="30" t="str">
        <f aca="false">IF(OR(B25="",D25=0),"",COUNTIFS(上位10件データ!$A:$A,$B25,上位10件データ!$H:$H,"はい")/D25)</f>
        <v/>
      </c>
      <c r="Q25" s="22"/>
    </row>
    <row r="26" customFormat="false" ht="15" hidden="false" customHeight="true" outlineLevel="0" collapsed="false">
      <c r="A26" s="19" t="str">
        <f aca="false">IF(B26="","",ROW()-1)</f>
        <v/>
      </c>
      <c r="B26" s="22"/>
      <c r="C26" s="9"/>
      <c r="D26" s="19" t="str">
        <f aca="false">IF(B26="","",COUNTIFS(上位10件データ!$A:$A,$B26))</f>
        <v/>
      </c>
      <c r="E26" s="28" t="str">
        <f aca="false">IF(OR(B26="",D26=0),"",AVERAGEIFS(上位10件データ!$G:$G,上位10件データ!$A:$A,$B26))</f>
        <v/>
      </c>
      <c r="F26" s="28" t="str">
        <f aca="false">IF(OR(B26="",D26=0),"",SUMIFS(上位10件データ!$G:$G,上位10件データ!$A:$A,$B26))</f>
        <v/>
      </c>
      <c r="G26" s="28" t="str">
        <f aca="false">IF(OR(B26="",D26=0),"",AVERAGEIFS(上位10件データ!$E:$E,上位10件データ!$A:$A,$B26))</f>
        <v/>
      </c>
      <c r="H26" s="19" t="str">
        <f aca="false">IF(OR(B26="",D26=0),"",COUNTIFS(上位10件データ!$A:$A,$B26,上位10件データ!$F:$F,"&gt;=1000"))</f>
        <v/>
      </c>
      <c r="I26" s="19" t="str">
        <f aca="false">IF(OR(B26="",D26=0),"",COUNTIFS(上位10件データ!$A:$A,$B26,上位10件データ!$F:$F,"&lt;100"))</f>
        <v/>
      </c>
      <c r="J26" s="19" t="str">
        <f aca="false">IF(E26="","",COUNTIF(L26:O26,"○")+IF(P26&gt;=0.5,1,0))</f>
        <v/>
      </c>
      <c r="K26" s="29" t="str">
        <f aca="false">IF(J26="","",IF(J26&gt;=設定!$B$19,"◎ 有力",IF(J26&gt;=設定!$B$20,"○ 候補",IF(J26&gt;=3,"△ 要検討","× 見送り"))))</f>
        <v/>
      </c>
      <c r="L26" s="19" t="str">
        <f aca="false">IF(E26="","",IF(E26&gt;=設定!$B$14,"○","×"))</f>
        <v/>
      </c>
      <c r="M26" s="19" t="str">
        <f aca="false">IF(H26="","",IF(H26&lt;=設定!$B$15,"○","×"))</f>
        <v/>
      </c>
      <c r="N26" s="19" t="str">
        <f aca="false">IF(I26="","",IF(I26&gt;=設定!$B$16,"○","×"))</f>
        <v/>
      </c>
      <c r="O26" s="19" t="str">
        <f aca="false">IF(G26="","",IF(AND(G26&gt;=設定!$B$17,G26&lt;=設定!$B$18),"○","×"))</f>
        <v/>
      </c>
      <c r="P26" s="30" t="str">
        <f aca="false">IF(OR(B26="",D26=0),"",COUNTIFS(上位10件データ!$A:$A,$B26,上位10件データ!$H:$H,"はい")/D26)</f>
        <v/>
      </c>
      <c r="Q26" s="22"/>
    </row>
    <row r="27" customFormat="false" ht="15" hidden="false" customHeight="true" outlineLevel="0" collapsed="false">
      <c r="A27" s="19" t="str">
        <f aca="false">IF(B27="","",ROW()-1)</f>
        <v/>
      </c>
      <c r="B27" s="22"/>
      <c r="C27" s="9"/>
      <c r="D27" s="19" t="str">
        <f aca="false">IF(B27="","",COUNTIFS(上位10件データ!$A:$A,$B27))</f>
        <v/>
      </c>
      <c r="E27" s="28" t="str">
        <f aca="false">IF(OR(B27="",D27=0),"",AVERAGEIFS(上位10件データ!$G:$G,上位10件データ!$A:$A,$B27))</f>
        <v/>
      </c>
      <c r="F27" s="28" t="str">
        <f aca="false">IF(OR(B27="",D27=0),"",SUMIFS(上位10件データ!$G:$G,上位10件データ!$A:$A,$B27))</f>
        <v/>
      </c>
      <c r="G27" s="28" t="str">
        <f aca="false">IF(OR(B27="",D27=0),"",AVERAGEIFS(上位10件データ!$E:$E,上位10件データ!$A:$A,$B27))</f>
        <v/>
      </c>
      <c r="H27" s="19" t="str">
        <f aca="false">IF(OR(B27="",D27=0),"",COUNTIFS(上位10件データ!$A:$A,$B27,上位10件データ!$F:$F,"&gt;=1000"))</f>
        <v/>
      </c>
      <c r="I27" s="19" t="str">
        <f aca="false">IF(OR(B27="",D27=0),"",COUNTIFS(上位10件データ!$A:$A,$B27,上位10件データ!$F:$F,"&lt;100"))</f>
        <v/>
      </c>
      <c r="J27" s="19" t="str">
        <f aca="false">IF(E27="","",COUNTIF(L27:O27,"○")+IF(P27&gt;=0.5,1,0))</f>
        <v/>
      </c>
      <c r="K27" s="29" t="str">
        <f aca="false">IF(J27="","",IF(J27&gt;=設定!$B$19,"◎ 有力",IF(J27&gt;=設定!$B$20,"○ 候補",IF(J27&gt;=3,"△ 要検討","× 見送り"))))</f>
        <v/>
      </c>
      <c r="L27" s="19" t="str">
        <f aca="false">IF(E27="","",IF(E27&gt;=設定!$B$14,"○","×"))</f>
        <v/>
      </c>
      <c r="M27" s="19" t="str">
        <f aca="false">IF(H27="","",IF(H27&lt;=設定!$B$15,"○","×"))</f>
        <v/>
      </c>
      <c r="N27" s="19" t="str">
        <f aca="false">IF(I27="","",IF(I27&gt;=設定!$B$16,"○","×"))</f>
        <v/>
      </c>
      <c r="O27" s="19" t="str">
        <f aca="false">IF(G27="","",IF(AND(G27&gt;=設定!$B$17,G27&lt;=設定!$B$18),"○","×"))</f>
        <v/>
      </c>
      <c r="P27" s="30" t="str">
        <f aca="false">IF(OR(B27="",D27=0),"",COUNTIFS(上位10件データ!$A:$A,$B27,上位10件データ!$H:$H,"はい")/D27)</f>
        <v/>
      </c>
      <c r="Q27" s="22"/>
    </row>
    <row r="28" customFormat="false" ht="15" hidden="false" customHeight="true" outlineLevel="0" collapsed="false">
      <c r="A28" s="19" t="str">
        <f aca="false">IF(B28="","",ROW()-1)</f>
        <v/>
      </c>
      <c r="B28" s="22"/>
      <c r="C28" s="9"/>
      <c r="D28" s="19" t="str">
        <f aca="false">IF(B28="","",COUNTIFS(上位10件データ!$A:$A,$B28))</f>
        <v/>
      </c>
      <c r="E28" s="28" t="str">
        <f aca="false">IF(OR(B28="",D28=0),"",AVERAGEIFS(上位10件データ!$G:$G,上位10件データ!$A:$A,$B28))</f>
        <v/>
      </c>
      <c r="F28" s="28" t="str">
        <f aca="false">IF(OR(B28="",D28=0),"",SUMIFS(上位10件データ!$G:$G,上位10件データ!$A:$A,$B28))</f>
        <v/>
      </c>
      <c r="G28" s="28" t="str">
        <f aca="false">IF(OR(B28="",D28=0),"",AVERAGEIFS(上位10件データ!$E:$E,上位10件データ!$A:$A,$B28))</f>
        <v/>
      </c>
      <c r="H28" s="19" t="str">
        <f aca="false">IF(OR(B28="",D28=0),"",COUNTIFS(上位10件データ!$A:$A,$B28,上位10件データ!$F:$F,"&gt;=1000"))</f>
        <v/>
      </c>
      <c r="I28" s="19" t="str">
        <f aca="false">IF(OR(B28="",D28=0),"",COUNTIFS(上位10件データ!$A:$A,$B28,上位10件データ!$F:$F,"&lt;100"))</f>
        <v/>
      </c>
      <c r="J28" s="19" t="str">
        <f aca="false">IF(E28="","",COUNTIF(L28:O28,"○")+IF(P28&gt;=0.5,1,0))</f>
        <v/>
      </c>
      <c r="K28" s="29" t="str">
        <f aca="false">IF(J28="","",IF(J28&gt;=設定!$B$19,"◎ 有力",IF(J28&gt;=設定!$B$20,"○ 候補",IF(J28&gt;=3,"△ 要検討","× 見送り"))))</f>
        <v/>
      </c>
      <c r="L28" s="19" t="str">
        <f aca="false">IF(E28="","",IF(E28&gt;=設定!$B$14,"○","×"))</f>
        <v/>
      </c>
      <c r="M28" s="19" t="str">
        <f aca="false">IF(H28="","",IF(H28&lt;=設定!$B$15,"○","×"))</f>
        <v/>
      </c>
      <c r="N28" s="19" t="str">
        <f aca="false">IF(I28="","",IF(I28&gt;=設定!$B$16,"○","×"))</f>
        <v/>
      </c>
      <c r="O28" s="19" t="str">
        <f aca="false">IF(G28="","",IF(AND(G28&gt;=設定!$B$17,G28&lt;=設定!$B$18),"○","×"))</f>
        <v/>
      </c>
      <c r="P28" s="30" t="str">
        <f aca="false">IF(OR(B28="",D28=0),"",COUNTIFS(上位10件データ!$A:$A,$B28,上位10件データ!$H:$H,"はい")/D28)</f>
        <v/>
      </c>
      <c r="Q28" s="22"/>
    </row>
    <row r="29" customFormat="false" ht="15" hidden="false" customHeight="true" outlineLevel="0" collapsed="false">
      <c r="A29" s="19" t="str">
        <f aca="false">IF(B29="","",ROW()-1)</f>
        <v/>
      </c>
      <c r="B29" s="22"/>
      <c r="C29" s="9"/>
      <c r="D29" s="19" t="str">
        <f aca="false">IF(B29="","",COUNTIFS(上位10件データ!$A:$A,$B29))</f>
        <v/>
      </c>
      <c r="E29" s="28" t="str">
        <f aca="false">IF(OR(B29="",D29=0),"",AVERAGEIFS(上位10件データ!$G:$G,上位10件データ!$A:$A,$B29))</f>
        <v/>
      </c>
      <c r="F29" s="28" t="str">
        <f aca="false">IF(OR(B29="",D29=0),"",SUMIFS(上位10件データ!$G:$G,上位10件データ!$A:$A,$B29))</f>
        <v/>
      </c>
      <c r="G29" s="28" t="str">
        <f aca="false">IF(OR(B29="",D29=0),"",AVERAGEIFS(上位10件データ!$E:$E,上位10件データ!$A:$A,$B29))</f>
        <v/>
      </c>
      <c r="H29" s="19" t="str">
        <f aca="false">IF(OR(B29="",D29=0),"",COUNTIFS(上位10件データ!$A:$A,$B29,上位10件データ!$F:$F,"&gt;=1000"))</f>
        <v/>
      </c>
      <c r="I29" s="19" t="str">
        <f aca="false">IF(OR(B29="",D29=0),"",COUNTIFS(上位10件データ!$A:$A,$B29,上位10件データ!$F:$F,"&lt;100"))</f>
        <v/>
      </c>
      <c r="J29" s="19" t="str">
        <f aca="false">IF(E29="","",COUNTIF(L29:O29,"○")+IF(P29&gt;=0.5,1,0))</f>
        <v/>
      </c>
      <c r="K29" s="29" t="str">
        <f aca="false">IF(J29="","",IF(J29&gt;=設定!$B$19,"◎ 有力",IF(J29&gt;=設定!$B$20,"○ 候補",IF(J29&gt;=3,"△ 要検討","× 見送り"))))</f>
        <v/>
      </c>
      <c r="L29" s="19" t="str">
        <f aca="false">IF(E29="","",IF(E29&gt;=設定!$B$14,"○","×"))</f>
        <v/>
      </c>
      <c r="M29" s="19" t="str">
        <f aca="false">IF(H29="","",IF(H29&lt;=設定!$B$15,"○","×"))</f>
        <v/>
      </c>
      <c r="N29" s="19" t="str">
        <f aca="false">IF(I29="","",IF(I29&gt;=設定!$B$16,"○","×"))</f>
        <v/>
      </c>
      <c r="O29" s="19" t="str">
        <f aca="false">IF(G29="","",IF(AND(G29&gt;=設定!$B$17,G29&lt;=設定!$B$18),"○","×"))</f>
        <v/>
      </c>
      <c r="P29" s="30" t="str">
        <f aca="false">IF(OR(B29="",D29=0),"",COUNTIFS(上位10件データ!$A:$A,$B29,上位10件データ!$H:$H,"はい")/D29)</f>
        <v/>
      </c>
      <c r="Q29" s="22"/>
    </row>
    <row r="30" customFormat="false" ht="15" hidden="false" customHeight="true" outlineLevel="0" collapsed="false">
      <c r="A30" s="19" t="str">
        <f aca="false">IF(B30="","",ROW()-1)</f>
        <v/>
      </c>
      <c r="B30" s="22"/>
      <c r="C30" s="9"/>
      <c r="D30" s="19" t="str">
        <f aca="false">IF(B30="","",COUNTIFS(上位10件データ!$A:$A,$B30))</f>
        <v/>
      </c>
      <c r="E30" s="28" t="str">
        <f aca="false">IF(OR(B30="",D30=0),"",AVERAGEIFS(上位10件データ!$G:$G,上位10件データ!$A:$A,$B30))</f>
        <v/>
      </c>
      <c r="F30" s="28" t="str">
        <f aca="false">IF(OR(B30="",D30=0),"",SUMIFS(上位10件データ!$G:$G,上位10件データ!$A:$A,$B30))</f>
        <v/>
      </c>
      <c r="G30" s="28" t="str">
        <f aca="false">IF(OR(B30="",D30=0),"",AVERAGEIFS(上位10件データ!$E:$E,上位10件データ!$A:$A,$B30))</f>
        <v/>
      </c>
      <c r="H30" s="19" t="str">
        <f aca="false">IF(OR(B30="",D30=0),"",COUNTIFS(上位10件データ!$A:$A,$B30,上位10件データ!$F:$F,"&gt;=1000"))</f>
        <v/>
      </c>
      <c r="I30" s="19" t="str">
        <f aca="false">IF(OR(B30="",D30=0),"",COUNTIFS(上位10件データ!$A:$A,$B30,上位10件データ!$F:$F,"&lt;100"))</f>
        <v/>
      </c>
      <c r="J30" s="19" t="str">
        <f aca="false">IF(E30="","",COUNTIF(L30:O30,"○")+IF(P30&gt;=0.5,1,0))</f>
        <v/>
      </c>
      <c r="K30" s="29" t="str">
        <f aca="false">IF(J30="","",IF(J30&gt;=設定!$B$19,"◎ 有力",IF(J30&gt;=設定!$B$20,"○ 候補",IF(J30&gt;=3,"△ 要検討","× 見送り"))))</f>
        <v/>
      </c>
      <c r="L30" s="19" t="str">
        <f aca="false">IF(E30="","",IF(E30&gt;=設定!$B$14,"○","×"))</f>
        <v/>
      </c>
      <c r="M30" s="19" t="str">
        <f aca="false">IF(H30="","",IF(H30&lt;=設定!$B$15,"○","×"))</f>
        <v/>
      </c>
      <c r="N30" s="19" t="str">
        <f aca="false">IF(I30="","",IF(I30&gt;=設定!$B$16,"○","×"))</f>
        <v/>
      </c>
      <c r="O30" s="19" t="str">
        <f aca="false">IF(G30="","",IF(AND(G30&gt;=設定!$B$17,G30&lt;=設定!$B$18),"○","×"))</f>
        <v/>
      </c>
      <c r="P30" s="30" t="str">
        <f aca="false">IF(OR(B30="",D30=0),"",COUNTIFS(上位10件データ!$A:$A,$B30,上位10件データ!$H:$H,"はい")/D30)</f>
        <v/>
      </c>
      <c r="Q30" s="22"/>
    </row>
    <row r="31" customFormat="false" ht="15" hidden="false" customHeight="true" outlineLevel="0" collapsed="false">
      <c r="A31" s="19" t="str">
        <f aca="false">IF(B31="","",ROW()-1)</f>
        <v/>
      </c>
      <c r="B31" s="22"/>
      <c r="C31" s="9"/>
      <c r="D31" s="19" t="str">
        <f aca="false">IF(B31="","",COUNTIFS(上位10件データ!$A:$A,$B31))</f>
        <v/>
      </c>
      <c r="E31" s="28" t="str">
        <f aca="false">IF(OR(B31="",D31=0),"",AVERAGEIFS(上位10件データ!$G:$G,上位10件データ!$A:$A,$B31))</f>
        <v/>
      </c>
      <c r="F31" s="28" t="str">
        <f aca="false">IF(OR(B31="",D31=0),"",SUMIFS(上位10件データ!$G:$G,上位10件データ!$A:$A,$B31))</f>
        <v/>
      </c>
      <c r="G31" s="28" t="str">
        <f aca="false">IF(OR(B31="",D31=0),"",AVERAGEIFS(上位10件データ!$E:$E,上位10件データ!$A:$A,$B31))</f>
        <v/>
      </c>
      <c r="H31" s="19" t="str">
        <f aca="false">IF(OR(B31="",D31=0),"",COUNTIFS(上位10件データ!$A:$A,$B31,上位10件データ!$F:$F,"&gt;=1000"))</f>
        <v/>
      </c>
      <c r="I31" s="19" t="str">
        <f aca="false">IF(OR(B31="",D31=0),"",COUNTIFS(上位10件データ!$A:$A,$B31,上位10件データ!$F:$F,"&lt;100"))</f>
        <v/>
      </c>
      <c r="J31" s="19" t="str">
        <f aca="false">IF(E31="","",COUNTIF(L31:O31,"○")+IF(P31&gt;=0.5,1,0))</f>
        <v/>
      </c>
      <c r="K31" s="29" t="str">
        <f aca="false">IF(J31="","",IF(J31&gt;=設定!$B$19,"◎ 有力",IF(J31&gt;=設定!$B$20,"○ 候補",IF(J31&gt;=3,"△ 要検討","× 見送り"))))</f>
        <v/>
      </c>
      <c r="L31" s="19" t="str">
        <f aca="false">IF(E31="","",IF(E31&gt;=設定!$B$14,"○","×"))</f>
        <v/>
      </c>
      <c r="M31" s="19" t="str">
        <f aca="false">IF(H31="","",IF(H31&lt;=設定!$B$15,"○","×"))</f>
        <v/>
      </c>
      <c r="N31" s="19" t="str">
        <f aca="false">IF(I31="","",IF(I31&gt;=設定!$B$16,"○","×"))</f>
        <v/>
      </c>
      <c r="O31" s="19" t="str">
        <f aca="false">IF(G31="","",IF(AND(G31&gt;=設定!$B$17,G31&lt;=設定!$B$18),"○","×"))</f>
        <v/>
      </c>
      <c r="P31" s="30" t="str">
        <f aca="false">IF(OR(B31="",D31=0),"",COUNTIFS(上位10件データ!$A:$A,$B31,上位10件データ!$H:$H,"はい")/D31)</f>
        <v/>
      </c>
      <c r="Q31" s="22"/>
    </row>
    <row r="32" customFormat="false" ht="15" hidden="false" customHeight="true" outlineLevel="0" collapsed="false">
      <c r="A32" s="19" t="str">
        <f aca="false">IF(B32="","",ROW()-1)</f>
        <v/>
      </c>
      <c r="B32" s="22"/>
      <c r="C32" s="9"/>
      <c r="D32" s="19" t="str">
        <f aca="false">IF(B32="","",COUNTIFS(上位10件データ!$A:$A,$B32))</f>
        <v/>
      </c>
      <c r="E32" s="28" t="str">
        <f aca="false">IF(OR(B32="",D32=0),"",AVERAGEIFS(上位10件データ!$G:$G,上位10件データ!$A:$A,$B32))</f>
        <v/>
      </c>
      <c r="F32" s="28" t="str">
        <f aca="false">IF(OR(B32="",D32=0),"",SUMIFS(上位10件データ!$G:$G,上位10件データ!$A:$A,$B32))</f>
        <v/>
      </c>
      <c r="G32" s="28" t="str">
        <f aca="false">IF(OR(B32="",D32=0),"",AVERAGEIFS(上位10件データ!$E:$E,上位10件データ!$A:$A,$B32))</f>
        <v/>
      </c>
      <c r="H32" s="19" t="str">
        <f aca="false">IF(OR(B32="",D32=0),"",COUNTIFS(上位10件データ!$A:$A,$B32,上位10件データ!$F:$F,"&gt;=1000"))</f>
        <v/>
      </c>
      <c r="I32" s="19" t="str">
        <f aca="false">IF(OR(B32="",D32=0),"",COUNTIFS(上位10件データ!$A:$A,$B32,上位10件データ!$F:$F,"&lt;100"))</f>
        <v/>
      </c>
      <c r="J32" s="19" t="str">
        <f aca="false">IF(E32="","",COUNTIF(L32:O32,"○")+IF(P32&gt;=0.5,1,0))</f>
        <v/>
      </c>
      <c r="K32" s="29" t="str">
        <f aca="false">IF(J32="","",IF(J32&gt;=設定!$B$19,"◎ 有力",IF(J32&gt;=設定!$B$20,"○ 候補",IF(J32&gt;=3,"△ 要検討","× 見送り"))))</f>
        <v/>
      </c>
      <c r="L32" s="19" t="str">
        <f aca="false">IF(E32="","",IF(E32&gt;=設定!$B$14,"○","×"))</f>
        <v/>
      </c>
      <c r="M32" s="19" t="str">
        <f aca="false">IF(H32="","",IF(H32&lt;=設定!$B$15,"○","×"))</f>
        <v/>
      </c>
      <c r="N32" s="19" t="str">
        <f aca="false">IF(I32="","",IF(I32&gt;=設定!$B$16,"○","×"))</f>
        <v/>
      </c>
      <c r="O32" s="19" t="str">
        <f aca="false">IF(G32="","",IF(AND(G32&gt;=設定!$B$17,G32&lt;=設定!$B$18),"○","×"))</f>
        <v/>
      </c>
      <c r="P32" s="30" t="str">
        <f aca="false">IF(OR(B32="",D32=0),"",COUNTIFS(上位10件データ!$A:$A,$B32,上位10件データ!$H:$H,"はい")/D32)</f>
        <v/>
      </c>
      <c r="Q32" s="22"/>
    </row>
    <row r="33" customFormat="false" ht="15" hidden="false" customHeight="true" outlineLevel="0" collapsed="false">
      <c r="A33" s="19" t="str">
        <f aca="false">IF(B33="","",ROW()-1)</f>
        <v/>
      </c>
      <c r="B33" s="22"/>
      <c r="C33" s="9"/>
      <c r="D33" s="19" t="str">
        <f aca="false">IF(B33="","",COUNTIFS(上位10件データ!$A:$A,$B33))</f>
        <v/>
      </c>
      <c r="E33" s="28" t="str">
        <f aca="false">IF(OR(B33="",D33=0),"",AVERAGEIFS(上位10件データ!$G:$G,上位10件データ!$A:$A,$B33))</f>
        <v/>
      </c>
      <c r="F33" s="28" t="str">
        <f aca="false">IF(OR(B33="",D33=0),"",SUMIFS(上位10件データ!$G:$G,上位10件データ!$A:$A,$B33))</f>
        <v/>
      </c>
      <c r="G33" s="28" t="str">
        <f aca="false">IF(OR(B33="",D33=0),"",AVERAGEIFS(上位10件データ!$E:$E,上位10件データ!$A:$A,$B33))</f>
        <v/>
      </c>
      <c r="H33" s="19" t="str">
        <f aca="false">IF(OR(B33="",D33=0),"",COUNTIFS(上位10件データ!$A:$A,$B33,上位10件データ!$F:$F,"&gt;=1000"))</f>
        <v/>
      </c>
      <c r="I33" s="19" t="str">
        <f aca="false">IF(OR(B33="",D33=0),"",COUNTIFS(上位10件データ!$A:$A,$B33,上位10件データ!$F:$F,"&lt;100"))</f>
        <v/>
      </c>
      <c r="J33" s="19" t="str">
        <f aca="false">IF(E33="","",COUNTIF(L33:O33,"○")+IF(P33&gt;=0.5,1,0))</f>
        <v/>
      </c>
      <c r="K33" s="29" t="str">
        <f aca="false">IF(J33="","",IF(J33&gt;=設定!$B$19,"◎ 有力",IF(J33&gt;=設定!$B$20,"○ 候補",IF(J33&gt;=3,"△ 要検討","× 見送り"))))</f>
        <v/>
      </c>
      <c r="L33" s="19" t="str">
        <f aca="false">IF(E33="","",IF(E33&gt;=設定!$B$14,"○","×"))</f>
        <v/>
      </c>
      <c r="M33" s="19" t="str">
        <f aca="false">IF(H33="","",IF(H33&lt;=設定!$B$15,"○","×"))</f>
        <v/>
      </c>
      <c r="N33" s="19" t="str">
        <f aca="false">IF(I33="","",IF(I33&gt;=設定!$B$16,"○","×"))</f>
        <v/>
      </c>
      <c r="O33" s="19" t="str">
        <f aca="false">IF(G33="","",IF(AND(G33&gt;=設定!$B$17,G33&lt;=設定!$B$18),"○","×"))</f>
        <v/>
      </c>
      <c r="P33" s="30" t="str">
        <f aca="false">IF(OR(B33="",D33=0),"",COUNTIFS(上位10件データ!$A:$A,$B33,上位10件データ!$H:$H,"はい")/D33)</f>
        <v/>
      </c>
      <c r="Q33" s="22"/>
    </row>
    <row r="34" customFormat="false" ht="15" hidden="false" customHeight="true" outlineLevel="0" collapsed="false">
      <c r="A34" s="19" t="str">
        <f aca="false">IF(B34="","",ROW()-1)</f>
        <v/>
      </c>
      <c r="B34" s="22"/>
      <c r="C34" s="9"/>
      <c r="D34" s="19" t="str">
        <f aca="false">IF(B34="","",COUNTIFS(上位10件データ!$A:$A,$B34))</f>
        <v/>
      </c>
      <c r="E34" s="28" t="str">
        <f aca="false">IF(OR(B34="",D34=0),"",AVERAGEIFS(上位10件データ!$G:$G,上位10件データ!$A:$A,$B34))</f>
        <v/>
      </c>
      <c r="F34" s="28" t="str">
        <f aca="false">IF(OR(B34="",D34=0),"",SUMIFS(上位10件データ!$G:$G,上位10件データ!$A:$A,$B34))</f>
        <v/>
      </c>
      <c r="G34" s="28" t="str">
        <f aca="false">IF(OR(B34="",D34=0),"",AVERAGEIFS(上位10件データ!$E:$E,上位10件データ!$A:$A,$B34))</f>
        <v/>
      </c>
      <c r="H34" s="19" t="str">
        <f aca="false">IF(OR(B34="",D34=0),"",COUNTIFS(上位10件データ!$A:$A,$B34,上位10件データ!$F:$F,"&gt;=1000"))</f>
        <v/>
      </c>
      <c r="I34" s="19" t="str">
        <f aca="false">IF(OR(B34="",D34=0),"",COUNTIFS(上位10件データ!$A:$A,$B34,上位10件データ!$F:$F,"&lt;100"))</f>
        <v/>
      </c>
      <c r="J34" s="19" t="str">
        <f aca="false">IF(E34="","",COUNTIF(L34:O34,"○")+IF(P34&gt;=0.5,1,0))</f>
        <v/>
      </c>
      <c r="K34" s="29" t="str">
        <f aca="false">IF(J34="","",IF(J34&gt;=設定!$B$19,"◎ 有力",IF(J34&gt;=設定!$B$20,"○ 候補",IF(J34&gt;=3,"△ 要検討","× 見送り"))))</f>
        <v/>
      </c>
      <c r="L34" s="19" t="str">
        <f aca="false">IF(E34="","",IF(E34&gt;=設定!$B$14,"○","×"))</f>
        <v/>
      </c>
      <c r="M34" s="19" t="str">
        <f aca="false">IF(H34="","",IF(H34&lt;=設定!$B$15,"○","×"))</f>
        <v/>
      </c>
      <c r="N34" s="19" t="str">
        <f aca="false">IF(I34="","",IF(I34&gt;=設定!$B$16,"○","×"))</f>
        <v/>
      </c>
      <c r="O34" s="19" t="str">
        <f aca="false">IF(G34="","",IF(AND(G34&gt;=設定!$B$17,G34&lt;=設定!$B$18),"○","×"))</f>
        <v/>
      </c>
      <c r="P34" s="30" t="str">
        <f aca="false">IF(OR(B34="",D34=0),"",COUNTIFS(上位10件データ!$A:$A,$B34,上位10件データ!$H:$H,"はい")/D34)</f>
        <v/>
      </c>
      <c r="Q34" s="22"/>
    </row>
    <row r="35" customFormat="false" ht="15" hidden="false" customHeight="true" outlineLevel="0" collapsed="false">
      <c r="A35" s="19" t="str">
        <f aca="false">IF(B35="","",ROW()-1)</f>
        <v/>
      </c>
      <c r="B35" s="22"/>
      <c r="C35" s="9"/>
      <c r="D35" s="19" t="str">
        <f aca="false">IF(B35="","",COUNTIFS(上位10件データ!$A:$A,$B35))</f>
        <v/>
      </c>
      <c r="E35" s="28" t="str">
        <f aca="false">IF(OR(B35="",D35=0),"",AVERAGEIFS(上位10件データ!$G:$G,上位10件データ!$A:$A,$B35))</f>
        <v/>
      </c>
      <c r="F35" s="28" t="str">
        <f aca="false">IF(OR(B35="",D35=0),"",SUMIFS(上位10件データ!$G:$G,上位10件データ!$A:$A,$B35))</f>
        <v/>
      </c>
      <c r="G35" s="28" t="str">
        <f aca="false">IF(OR(B35="",D35=0),"",AVERAGEIFS(上位10件データ!$E:$E,上位10件データ!$A:$A,$B35))</f>
        <v/>
      </c>
      <c r="H35" s="19" t="str">
        <f aca="false">IF(OR(B35="",D35=0),"",COUNTIFS(上位10件データ!$A:$A,$B35,上位10件データ!$F:$F,"&gt;=1000"))</f>
        <v/>
      </c>
      <c r="I35" s="19" t="str">
        <f aca="false">IF(OR(B35="",D35=0),"",COUNTIFS(上位10件データ!$A:$A,$B35,上位10件データ!$F:$F,"&lt;100"))</f>
        <v/>
      </c>
      <c r="J35" s="19" t="str">
        <f aca="false">IF(E35="","",COUNTIF(L35:O35,"○")+IF(P35&gt;=0.5,1,0))</f>
        <v/>
      </c>
      <c r="K35" s="29" t="str">
        <f aca="false">IF(J35="","",IF(J35&gt;=設定!$B$19,"◎ 有力",IF(J35&gt;=設定!$B$20,"○ 候補",IF(J35&gt;=3,"△ 要検討","× 見送り"))))</f>
        <v/>
      </c>
      <c r="L35" s="19" t="str">
        <f aca="false">IF(E35="","",IF(E35&gt;=設定!$B$14,"○","×"))</f>
        <v/>
      </c>
      <c r="M35" s="19" t="str">
        <f aca="false">IF(H35="","",IF(H35&lt;=設定!$B$15,"○","×"))</f>
        <v/>
      </c>
      <c r="N35" s="19" t="str">
        <f aca="false">IF(I35="","",IF(I35&gt;=設定!$B$16,"○","×"))</f>
        <v/>
      </c>
      <c r="O35" s="19" t="str">
        <f aca="false">IF(G35="","",IF(AND(G35&gt;=設定!$B$17,G35&lt;=設定!$B$18),"○","×"))</f>
        <v/>
      </c>
      <c r="P35" s="30" t="str">
        <f aca="false">IF(OR(B35="",D35=0),"",COUNTIFS(上位10件データ!$A:$A,$B35,上位10件データ!$H:$H,"はい")/D35)</f>
        <v/>
      </c>
      <c r="Q35" s="22"/>
    </row>
    <row r="36" customFormat="false" ht="15" hidden="false" customHeight="true" outlineLevel="0" collapsed="false">
      <c r="A36" s="19" t="str">
        <f aca="false">IF(B36="","",ROW()-1)</f>
        <v/>
      </c>
      <c r="B36" s="22"/>
      <c r="C36" s="9"/>
      <c r="D36" s="19" t="str">
        <f aca="false">IF(B36="","",COUNTIFS(上位10件データ!$A:$A,$B36))</f>
        <v/>
      </c>
      <c r="E36" s="28" t="str">
        <f aca="false">IF(OR(B36="",D36=0),"",AVERAGEIFS(上位10件データ!$G:$G,上位10件データ!$A:$A,$B36))</f>
        <v/>
      </c>
      <c r="F36" s="28" t="str">
        <f aca="false">IF(OR(B36="",D36=0),"",SUMIFS(上位10件データ!$G:$G,上位10件データ!$A:$A,$B36))</f>
        <v/>
      </c>
      <c r="G36" s="28" t="str">
        <f aca="false">IF(OR(B36="",D36=0),"",AVERAGEIFS(上位10件データ!$E:$E,上位10件データ!$A:$A,$B36))</f>
        <v/>
      </c>
      <c r="H36" s="19" t="str">
        <f aca="false">IF(OR(B36="",D36=0),"",COUNTIFS(上位10件データ!$A:$A,$B36,上位10件データ!$F:$F,"&gt;=1000"))</f>
        <v/>
      </c>
      <c r="I36" s="19" t="str">
        <f aca="false">IF(OR(B36="",D36=0),"",COUNTIFS(上位10件データ!$A:$A,$B36,上位10件データ!$F:$F,"&lt;100"))</f>
        <v/>
      </c>
      <c r="J36" s="19" t="str">
        <f aca="false">IF(E36="","",COUNTIF(L36:O36,"○")+IF(P36&gt;=0.5,1,0))</f>
        <v/>
      </c>
      <c r="K36" s="29" t="str">
        <f aca="false">IF(J36="","",IF(J36&gt;=設定!$B$19,"◎ 有力",IF(J36&gt;=設定!$B$20,"○ 候補",IF(J36&gt;=3,"△ 要検討","× 見送り"))))</f>
        <v/>
      </c>
      <c r="L36" s="19" t="str">
        <f aca="false">IF(E36="","",IF(E36&gt;=設定!$B$14,"○","×"))</f>
        <v/>
      </c>
      <c r="M36" s="19" t="str">
        <f aca="false">IF(H36="","",IF(H36&lt;=設定!$B$15,"○","×"))</f>
        <v/>
      </c>
      <c r="N36" s="19" t="str">
        <f aca="false">IF(I36="","",IF(I36&gt;=設定!$B$16,"○","×"))</f>
        <v/>
      </c>
      <c r="O36" s="19" t="str">
        <f aca="false">IF(G36="","",IF(AND(G36&gt;=設定!$B$17,G36&lt;=設定!$B$18),"○","×"))</f>
        <v/>
      </c>
      <c r="P36" s="30" t="str">
        <f aca="false">IF(OR(B36="",D36=0),"",COUNTIFS(上位10件データ!$A:$A,$B36,上位10件データ!$H:$H,"はい")/D36)</f>
        <v/>
      </c>
      <c r="Q36" s="22"/>
    </row>
    <row r="37" customFormat="false" ht="15" hidden="false" customHeight="true" outlineLevel="0" collapsed="false">
      <c r="A37" s="19" t="str">
        <f aca="false">IF(B37="","",ROW()-1)</f>
        <v/>
      </c>
      <c r="B37" s="22"/>
      <c r="C37" s="9"/>
      <c r="D37" s="19" t="str">
        <f aca="false">IF(B37="","",COUNTIFS(上位10件データ!$A:$A,$B37))</f>
        <v/>
      </c>
      <c r="E37" s="28" t="str">
        <f aca="false">IF(OR(B37="",D37=0),"",AVERAGEIFS(上位10件データ!$G:$G,上位10件データ!$A:$A,$B37))</f>
        <v/>
      </c>
      <c r="F37" s="28" t="str">
        <f aca="false">IF(OR(B37="",D37=0),"",SUMIFS(上位10件データ!$G:$G,上位10件データ!$A:$A,$B37))</f>
        <v/>
      </c>
      <c r="G37" s="28" t="str">
        <f aca="false">IF(OR(B37="",D37=0),"",AVERAGEIFS(上位10件データ!$E:$E,上位10件データ!$A:$A,$B37))</f>
        <v/>
      </c>
      <c r="H37" s="19" t="str">
        <f aca="false">IF(OR(B37="",D37=0),"",COUNTIFS(上位10件データ!$A:$A,$B37,上位10件データ!$F:$F,"&gt;=1000"))</f>
        <v/>
      </c>
      <c r="I37" s="19" t="str">
        <f aca="false">IF(OR(B37="",D37=0),"",COUNTIFS(上位10件データ!$A:$A,$B37,上位10件データ!$F:$F,"&lt;100"))</f>
        <v/>
      </c>
      <c r="J37" s="19" t="str">
        <f aca="false">IF(E37="","",COUNTIF(L37:O37,"○")+IF(P37&gt;=0.5,1,0))</f>
        <v/>
      </c>
      <c r="K37" s="29" t="str">
        <f aca="false">IF(J37="","",IF(J37&gt;=設定!$B$19,"◎ 有力",IF(J37&gt;=設定!$B$20,"○ 候補",IF(J37&gt;=3,"△ 要検討","× 見送り"))))</f>
        <v/>
      </c>
      <c r="L37" s="19" t="str">
        <f aca="false">IF(E37="","",IF(E37&gt;=設定!$B$14,"○","×"))</f>
        <v/>
      </c>
      <c r="M37" s="19" t="str">
        <f aca="false">IF(H37="","",IF(H37&lt;=設定!$B$15,"○","×"))</f>
        <v/>
      </c>
      <c r="N37" s="19" t="str">
        <f aca="false">IF(I37="","",IF(I37&gt;=設定!$B$16,"○","×"))</f>
        <v/>
      </c>
      <c r="O37" s="19" t="str">
        <f aca="false">IF(G37="","",IF(AND(G37&gt;=設定!$B$17,G37&lt;=設定!$B$18),"○","×"))</f>
        <v/>
      </c>
      <c r="P37" s="30" t="str">
        <f aca="false">IF(OR(B37="",D37=0),"",COUNTIFS(上位10件データ!$A:$A,$B37,上位10件データ!$H:$H,"はい")/D37)</f>
        <v/>
      </c>
      <c r="Q37" s="22"/>
    </row>
    <row r="38" customFormat="false" ht="15" hidden="false" customHeight="true" outlineLevel="0" collapsed="false">
      <c r="A38" s="19" t="str">
        <f aca="false">IF(B38="","",ROW()-1)</f>
        <v/>
      </c>
      <c r="B38" s="22"/>
      <c r="C38" s="9"/>
      <c r="D38" s="19" t="str">
        <f aca="false">IF(B38="","",COUNTIFS(上位10件データ!$A:$A,$B38))</f>
        <v/>
      </c>
      <c r="E38" s="28" t="str">
        <f aca="false">IF(OR(B38="",D38=0),"",AVERAGEIFS(上位10件データ!$G:$G,上位10件データ!$A:$A,$B38))</f>
        <v/>
      </c>
      <c r="F38" s="28" t="str">
        <f aca="false">IF(OR(B38="",D38=0),"",SUMIFS(上位10件データ!$G:$G,上位10件データ!$A:$A,$B38))</f>
        <v/>
      </c>
      <c r="G38" s="28" t="str">
        <f aca="false">IF(OR(B38="",D38=0),"",AVERAGEIFS(上位10件データ!$E:$E,上位10件データ!$A:$A,$B38))</f>
        <v/>
      </c>
      <c r="H38" s="19" t="str">
        <f aca="false">IF(OR(B38="",D38=0),"",COUNTIFS(上位10件データ!$A:$A,$B38,上位10件データ!$F:$F,"&gt;=1000"))</f>
        <v/>
      </c>
      <c r="I38" s="19" t="str">
        <f aca="false">IF(OR(B38="",D38=0),"",COUNTIFS(上位10件データ!$A:$A,$B38,上位10件データ!$F:$F,"&lt;100"))</f>
        <v/>
      </c>
      <c r="J38" s="19" t="str">
        <f aca="false">IF(E38="","",COUNTIF(L38:O38,"○")+IF(P38&gt;=0.5,1,0))</f>
        <v/>
      </c>
      <c r="K38" s="29" t="str">
        <f aca="false">IF(J38="","",IF(J38&gt;=設定!$B$19,"◎ 有力",IF(J38&gt;=設定!$B$20,"○ 候補",IF(J38&gt;=3,"△ 要検討","× 見送り"))))</f>
        <v/>
      </c>
      <c r="L38" s="19" t="str">
        <f aca="false">IF(E38="","",IF(E38&gt;=設定!$B$14,"○","×"))</f>
        <v/>
      </c>
      <c r="M38" s="19" t="str">
        <f aca="false">IF(H38="","",IF(H38&lt;=設定!$B$15,"○","×"))</f>
        <v/>
      </c>
      <c r="N38" s="19" t="str">
        <f aca="false">IF(I38="","",IF(I38&gt;=設定!$B$16,"○","×"))</f>
        <v/>
      </c>
      <c r="O38" s="19" t="str">
        <f aca="false">IF(G38="","",IF(AND(G38&gt;=設定!$B$17,G38&lt;=設定!$B$18),"○","×"))</f>
        <v/>
      </c>
      <c r="P38" s="30" t="str">
        <f aca="false">IF(OR(B38="",D38=0),"",COUNTIFS(上位10件データ!$A:$A,$B38,上位10件データ!$H:$H,"はい")/D38)</f>
        <v/>
      </c>
      <c r="Q38" s="22"/>
    </row>
    <row r="39" customFormat="false" ht="15" hidden="false" customHeight="true" outlineLevel="0" collapsed="false">
      <c r="A39" s="19" t="str">
        <f aca="false">IF(B39="","",ROW()-1)</f>
        <v/>
      </c>
      <c r="B39" s="22"/>
      <c r="C39" s="9"/>
      <c r="D39" s="19" t="str">
        <f aca="false">IF(B39="","",COUNTIFS(上位10件データ!$A:$A,$B39))</f>
        <v/>
      </c>
      <c r="E39" s="28" t="str">
        <f aca="false">IF(OR(B39="",D39=0),"",AVERAGEIFS(上位10件データ!$G:$G,上位10件データ!$A:$A,$B39))</f>
        <v/>
      </c>
      <c r="F39" s="28" t="str">
        <f aca="false">IF(OR(B39="",D39=0),"",SUMIFS(上位10件データ!$G:$G,上位10件データ!$A:$A,$B39))</f>
        <v/>
      </c>
      <c r="G39" s="28" t="str">
        <f aca="false">IF(OR(B39="",D39=0),"",AVERAGEIFS(上位10件データ!$E:$E,上位10件データ!$A:$A,$B39))</f>
        <v/>
      </c>
      <c r="H39" s="19" t="str">
        <f aca="false">IF(OR(B39="",D39=0),"",COUNTIFS(上位10件データ!$A:$A,$B39,上位10件データ!$F:$F,"&gt;=1000"))</f>
        <v/>
      </c>
      <c r="I39" s="19" t="str">
        <f aca="false">IF(OR(B39="",D39=0),"",COUNTIFS(上位10件データ!$A:$A,$B39,上位10件データ!$F:$F,"&lt;100"))</f>
        <v/>
      </c>
      <c r="J39" s="19" t="str">
        <f aca="false">IF(E39="","",COUNTIF(L39:O39,"○")+IF(P39&gt;=0.5,1,0))</f>
        <v/>
      </c>
      <c r="K39" s="29" t="str">
        <f aca="false">IF(J39="","",IF(J39&gt;=設定!$B$19,"◎ 有力",IF(J39&gt;=設定!$B$20,"○ 候補",IF(J39&gt;=3,"△ 要検討","× 見送り"))))</f>
        <v/>
      </c>
      <c r="L39" s="19" t="str">
        <f aca="false">IF(E39="","",IF(E39&gt;=設定!$B$14,"○","×"))</f>
        <v/>
      </c>
      <c r="M39" s="19" t="str">
        <f aca="false">IF(H39="","",IF(H39&lt;=設定!$B$15,"○","×"))</f>
        <v/>
      </c>
      <c r="N39" s="19" t="str">
        <f aca="false">IF(I39="","",IF(I39&gt;=設定!$B$16,"○","×"))</f>
        <v/>
      </c>
      <c r="O39" s="19" t="str">
        <f aca="false">IF(G39="","",IF(AND(G39&gt;=設定!$B$17,G39&lt;=設定!$B$18),"○","×"))</f>
        <v/>
      </c>
      <c r="P39" s="30" t="str">
        <f aca="false">IF(OR(B39="",D39=0),"",COUNTIFS(上位10件データ!$A:$A,$B39,上位10件データ!$H:$H,"はい")/D39)</f>
        <v/>
      </c>
      <c r="Q39" s="22"/>
    </row>
    <row r="40" customFormat="false" ht="15" hidden="false" customHeight="true" outlineLevel="0" collapsed="false">
      <c r="A40" s="19" t="str">
        <f aca="false">IF(B40="","",ROW()-1)</f>
        <v/>
      </c>
      <c r="B40" s="22"/>
      <c r="C40" s="9"/>
      <c r="D40" s="19" t="str">
        <f aca="false">IF(B40="","",COUNTIFS(上位10件データ!$A:$A,$B40))</f>
        <v/>
      </c>
      <c r="E40" s="28" t="str">
        <f aca="false">IF(OR(B40="",D40=0),"",AVERAGEIFS(上位10件データ!$G:$G,上位10件データ!$A:$A,$B40))</f>
        <v/>
      </c>
      <c r="F40" s="28" t="str">
        <f aca="false">IF(OR(B40="",D40=0),"",SUMIFS(上位10件データ!$G:$G,上位10件データ!$A:$A,$B40))</f>
        <v/>
      </c>
      <c r="G40" s="28" t="str">
        <f aca="false">IF(OR(B40="",D40=0),"",AVERAGEIFS(上位10件データ!$E:$E,上位10件データ!$A:$A,$B40))</f>
        <v/>
      </c>
      <c r="H40" s="19" t="str">
        <f aca="false">IF(OR(B40="",D40=0),"",COUNTIFS(上位10件データ!$A:$A,$B40,上位10件データ!$F:$F,"&gt;=1000"))</f>
        <v/>
      </c>
      <c r="I40" s="19" t="str">
        <f aca="false">IF(OR(B40="",D40=0),"",COUNTIFS(上位10件データ!$A:$A,$B40,上位10件データ!$F:$F,"&lt;100"))</f>
        <v/>
      </c>
      <c r="J40" s="19" t="str">
        <f aca="false">IF(E40="","",COUNTIF(L40:O40,"○")+IF(P40&gt;=0.5,1,0))</f>
        <v/>
      </c>
      <c r="K40" s="29" t="str">
        <f aca="false">IF(J40="","",IF(J40&gt;=設定!$B$19,"◎ 有力",IF(J40&gt;=設定!$B$20,"○ 候補",IF(J40&gt;=3,"△ 要検討","× 見送り"))))</f>
        <v/>
      </c>
      <c r="L40" s="19" t="str">
        <f aca="false">IF(E40="","",IF(E40&gt;=設定!$B$14,"○","×"))</f>
        <v/>
      </c>
      <c r="M40" s="19" t="str">
        <f aca="false">IF(H40="","",IF(H40&lt;=設定!$B$15,"○","×"))</f>
        <v/>
      </c>
      <c r="N40" s="19" t="str">
        <f aca="false">IF(I40="","",IF(I40&gt;=設定!$B$16,"○","×"))</f>
        <v/>
      </c>
      <c r="O40" s="19" t="str">
        <f aca="false">IF(G40="","",IF(AND(G40&gt;=設定!$B$17,G40&lt;=設定!$B$18),"○","×"))</f>
        <v/>
      </c>
      <c r="P40" s="30" t="str">
        <f aca="false">IF(OR(B40="",D40=0),"",COUNTIFS(上位10件データ!$A:$A,$B40,上位10件データ!$H:$H,"はい")/D40)</f>
        <v/>
      </c>
      <c r="Q40" s="22"/>
    </row>
    <row r="41" customFormat="false" ht="15" hidden="false" customHeight="true" outlineLevel="0" collapsed="false">
      <c r="A41" s="19" t="str">
        <f aca="false">IF(B41="","",ROW()-1)</f>
        <v/>
      </c>
      <c r="B41" s="22"/>
      <c r="C41" s="9"/>
      <c r="D41" s="19" t="str">
        <f aca="false">IF(B41="","",COUNTIFS(上位10件データ!$A:$A,$B41))</f>
        <v/>
      </c>
      <c r="E41" s="28" t="str">
        <f aca="false">IF(OR(B41="",D41=0),"",AVERAGEIFS(上位10件データ!$G:$G,上位10件データ!$A:$A,$B41))</f>
        <v/>
      </c>
      <c r="F41" s="28" t="str">
        <f aca="false">IF(OR(B41="",D41=0),"",SUMIFS(上位10件データ!$G:$G,上位10件データ!$A:$A,$B41))</f>
        <v/>
      </c>
      <c r="G41" s="28" t="str">
        <f aca="false">IF(OR(B41="",D41=0),"",AVERAGEIFS(上位10件データ!$E:$E,上位10件データ!$A:$A,$B41))</f>
        <v/>
      </c>
      <c r="H41" s="19" t="str">
        <f aca="false">IF(OR(B41="",D41=0),"",COUNTIFS(上位10件データ!$A:$A,$B41,上位10件データ!$F:$F,"&gt;=1000"))</f>
        <v/>
      </c>
      <c r="I41" s="19" t="str">
        <f aca="false">IF(OR(B41="",D41=0),"",COUNTIFS(上位10件データ!$A:$A,$B41,上位10件データ!$F:$F,"&lt;100"))</f>
        <v/>
      </c>
      <c r="J41" s="19" t="str">
        <f aca="false">IF(E41="","",COUNTIF(L41:O41,"○")+IF(P41&gt;=0.5,1,0))</f>
        <v/>
      </c>
      <c r="K41" s="29" t="str">
        <f aca="false">IF(J41="","",IF(J41&gt;=設定!$B$19,"◎ 有力",IF(J41&gt;=設定!$B$20,"○ 候補",IF(J41&gt;=3,"△ 要検討","× 見送り"))))</f>
        <v/>
      </c>
      <c r="L41" s="19" t="str">
        <f aca="false">IF(E41="","",IF(E41&gt;=設定!$B$14,"○","×"))</f>
        <v/>
      </c>
      <c r="M41" s="19" t="str">
        <f aca="false">IF(H41="","",IF(H41&lt;=設定!$B$15,"○","×"))</f>
        <v/>
      </c>
      <c r="N41" s="19" t="str">
        <f aca="false">IF(I41="","",IF(I41&gt;=設定!$B$16,"○","×"))</f>
        <v/>
      </c>
      <c r="O41" s="19" t="str">
        <f aca="false">IF(G41="","",IF(AND(G41&gt;=設定!$B$17,G41&lt;=設定!$B$18),"○","×"))</f>
        <v/>
      </c>
      <c r="P41" s="30" t="str">
        <f aca="false">IF(OR(B41="",D41=0),"",COUNTIFS(上位10件データ!$A:$A,$B41,上位10件データ!$H:$H,"はい")/D41)</f>
        <v/>
      </c>
      <c r="Q41" s="22"/>
    </row>
    <row r="42" customFormat="false" ht="15" hidden="false" customHeight="true" outlineLevel="0" collapsed="false">
      <c r="A42" s="19" t="str">
        <f aca="false">IF(B42="","",ROW()-1)</f>
        <v/>
      </c>
      <c r="B42" s="22"/>
      <c r="C42" s="9"/>
      <c r="D42" s="19" t="str">
        <f aca="false">IF(B42="","",COUNTIFS(上位10件データ!$A:$A,$B42))</f>
        <v/>
      </c>
      <c r="E42" s="28" t="str">
        <f aca="false">IF(OR(B42="",D42=0),"",AVERAGEIFS(上位10件データ!$G:$G,上位10件データ!$A:$A,$B42))</f>
        <v/>
      </c>
      <c r="F42" s="28" t="str">
        <f aca="false">IF(OR(B42="",D42=0),"",SUMIFS(上位10件データ!$G:$G,上位10件データ!$A:$A,$B42))</f>
        <v/>
      </c>
      <c r="G42" s="28" t="str">
        <f aca="false">IF(OR(B42="",D42=0),"",AVERAGEIFS(上位10件データ!$E:$E,上位10件データ!$A:$A,$B42))</f>
        <v/>
      </c>
      <c r="H42" s="19" t="str">
        <f aca="false">IF(OR(B42="",D42=0),"",COUNTIFS(上位10件データ!$A:$A,$B42,上位10件データ!$F:$F,"&gt;=1000"))</f>
        <v/>
      </c>
      <c r="I42" s="19" t="str">
        <f aca="false">IF(OR(B42="",D42=0),"",COUNTIFS(上位10件データ!$A:$A,$B42,上位10件データ!$F:$F,"&lt;100"))</f>
        <v/>
      </c>
      <c r="J42" s="19" t="str">
        <f aca="false">IF(E42="","",COUNTIF(L42:O42,"○")+IF(P42&gt;=0.5,1,0))</f>
        <v/>
      </c>
      <c r="K42" s="29" t="str">
        <f aca="false">IF(J42="","",IF(J42&gt;=設定!$B$19,"◎ 有力",IF(J42&gt;=設定!$B$20,"○ 候補",IF(J42&gt;=3,"△ 要検討","× 見送り"))))</f>
        <v/>
      </c>
      <c r="L42" s="19" t="str">
        <f aca="false">IF(E42="","",IF(E42&gt;=設定!$B$14,"○","×"))</f>
        <v/>
      </c>
      <c r="M42" s="19" t="str">
        <f aca="false">IF(H42="","",IF(H42&lt;=設定!$B$15,"○","×"))</f>
        <v/>
      </c>
      <c r="N42" s="19" t="str">
        <f aca="false">IF(I42="","",IF(I42&gt;=設定!$B$16,"○","×"))</f>
        <v/>
      </c>
      <c r="O42" s="19" t="str">
        <f aca="false">IF(G42="","",IF(AND(G42&gt;=設定!$B$17,G42&lt;=設定!$B$18),"○","×"))</f>
        <v/>
      </c>
      <c r="P42" s="30" t="str">
        <f aca="false">IF(OR(B42="",D42=0),"",COUNTIFS(上位10件データ!$A:$A,$B42,上位10件データ!$H:$H,"はい")/D42)</f>
        <v/>
      </c>
      <c r="Q42" s="22"/>
    </row>
    <row r="43" customFormat="false" ht="15" hidden="false" customHeight="true" outlineLevel="0" collapsed="false">
      <c r="A43" s="19" t="str">
        <f aca="false">IF(B43="","",ROW()-1)</f>
        <v/>
      </c>
      <c r="B43" s="22"/>
      <c r="C43" s="9"/>
      <c r="D43" s="19" t="str">
        <f aca="false">IF(B43="","",COUNTIFS(上位10件データ!$A:$A,$B43))</f>
        <v/>
      </c>
      <c r="E43" s="28" t="str">
        <f aca="false">IF(OR(B43="",D43=0),"",AVERAGEIFS(上位10件データ!$G:$G,上位10件データ!$A:$A,$B43))</f>
        <v/>
      </c>
      <c r="F43" s="28" t="str">
        <f aca="false">IF(OR(B43="",D43=0),"",SUMIFS(上位10件データ!$G:$G,上位10件データ!$A:$A,$B43))</f>
        <v/>
      </c>
      <c r="G43" s="28" t="str">
        <f aca="false">IF(OR(B43="",D43=0),"",AVERAGEIFS(上位10件データ!$E:$E,上位10件データ!$A:$A,$B43))</f>
        <v/>
      </c>
      <c r="H43" s="19" t="str">
        <f aca="false">IF(OR(B43="",D43=0),"",COUNTIFS(上位10件データ!$A:$A,$B43,上位10件データ!$F:$F,"&gt;=1000"))</f>
        <v/>
      </c>
      <c r="I43" s="19" t="str">
        <f aca="false">IF(OR(B43="",D43=0),"",COUNTIFS(上位10件データ!$A:$A,$B43,上位10件データ!$F:$F,"&lt;100"))</f>
        <v/>
      </c>
      <c r="J43" s="19" t="str">
        <f aca="false">IF(E43="","",COUNTIF(L43:O43,"○")+IF(P43&gt;=0.5,1,0))</f>
        <v/>
      </c>
      <c r="K43" s="29" t="str">
        <f aca="false">IF(J43="","",IF(J43&gt;=設定!$B$19,"◎ 有力",IF(J43&gt;=設定!$B$20,"○ 候補",IF(J43&gt;=3,"△ 要検討","× 見送り"))))</f>
        <v/>
      </c>
      <c r="L43" s="19" t="str">
        <f aca="false">IF(E43="","",IF(E43&gt;=設定!$B$14,"○","×"))</f>
        <v/>
      </c>
      <c r="M43" s="19" t="str">
        <f aca="false">IF(H43="","",IF(H43&lt;=設定!$B$15,"○","×"))</f>
        <v/>
      </c>
      <c r="N43" s="19" t="str">
        <f aca="false">IF(I43="","",IF(I43&gt;=設定!$B$16,"○","×"))</f>
        <v/>
      </c>
      <c r="O43" s="19" t="str">
        <f aca="false">IF(G43="","",IF(AND(G43&gt;=設定!$B$17,G43&lt;=設定!$B$18),"○","×"))</f>
        <v/>
      </c>
      <c r="P43" s="30" t="str">
        <f aca="false">IF(OR(B43="",D43=0),"",COUNTIFS(上位10件データ!$A:$A,$B43,上位10件データ!$H:$H,"はい")/D43)</f>
        <v/>
      </c>
      <c r="Q43" s="22"/>
    </row>
    <row r="44" customFormat="false" ht="15" hidden="false" customHeight="true" outlineLevel="0" collapsed="false">
      <c r="A44" s="19" t="str">
        <f aca="false">IF(B44="","",ROW()-1)</f>
        <v/>
      </c>
      <c r="B44" s="22"/>
      <c r="C44" s="9"/>
      <c r="D44" s="19" t="str">
        <f aca="false">IF(B44="","",COUNTIFS(上位10件データ!$A:$A,$B44))</f>
        <v/>
      </c>
      <c r="E44" s="28" t="str">
        <f aca="false">IF(OR(B44="",D44=0),"",AVERAGEIFS(上位10件データ!$G:$G,上位10件データ!$A:$A,$B44))</f>
        <v/>
      </c>
      <c r="F44" s="28" t="str">
        <f aca="false">IF(OR(B44="",D44=0),"",SUMIFS(上位10件データ!$G:$G,上位10件データ!$A:$A,$B44))</f>
        <v/>
      </c>
      <c r="G44" s="28" t="str">
        <f aca="false">IF(OR(B44="",D44=0),"",AVERAGEIFS(上位10件データ!$E:$E,上位10件データ!$A:$A,$B44))</f>
        <v/>
      </c>
      <c r="H44" s="19" t="str">
        <f aca="false">IF(OR(B44="",D44=0),"",COUNTIFS(上位10件データ!$A:$A,$B44,上位10件データ!$F:$F,"&gt;=1000"))</f>
        <v/>
      </c>
      <c r="I44" s="19" t="str">
        <f aca="false">IF(OR(B44="",D44=0),"",COUNTIFS(上位10件データ!$A:$A,$B44,上位10件データ!$F:$F,"&lt;100"))</f>
        <v/>
      </c>
      <c r="J44" s="19" t="str">
        <f aca="false">IF(E44="","",COUNTIF(L44:O44,"○")+IF(P44&gt;=0.5,1,0))</f>
        <v/>
      </c>
      <c r="K44" s="29" t="str">
        <f aca="false">IF(J44="","",IF(J44&gt;=設定!$B$19,"◎ 有力",IF(J44&gt;=設定!$B$20,"○ 候補",IF(J44&gt;=3,"△ 要検討","× 見送り"))))</f>
        <v/>
      </c>
      <c r="L44" s="19" t="str">
        <f aca="false">IF(E44="","",IF(E44&gt;=設定!$B$14,"○","×"))</f>
        <v/>
      </c>
      <c r="M44" s="19" t="str">
        <f aca="false">IF(H44="","",IF(H44&lt;=設定!$B$15,"○","×"))</f>
        <v/>
      </c>
      <c r="N44" s="19" t="str">
        <f aca="false">IF(I44="","",IF(I44&gt;=設定!$B$16,"○","×"))</f>
        <v/>
      </c>
      <c r="O44" s="19" t="str">
        <f aca="false">IF(G44="","",IF(AND(G44&gt;=設定!$B$17,G44&lt;=設定!$B$18),"○","×"))</f>
        <v/>
      </c>
      <c r="P44" s="30" t="str">
        <f aca="false">IF(OR(B44="",D44=0),"",COUNTIFS(上位10件データ!$A:$A,$B44,上位10件データ!$H:$H,"はい")/D44)</f>
        <v/>
      </c>
      <c r="Q44" s="22"/>
    </row>
    <row r="45" customFormat="false" ht="15" hidden="false" customHeight="true" outlineLevel="0" collapsed="false">
      <c r="A45" s="19" t="str">
        <f aca="false">IF(B45="","",ROW()-1)</f>
        <v/>
      </c>
      <c r="B45" s="22"/>
      <c r="C45" s="9"/>
      <c r="D45" s="19" t="str">
        <f aca="false">IF(B45="","",COUNTIFS(上位10件データ!$A:$A,$B45))</f>
        <v/>
      </c>
      <c r="E45" s="28" t="str">
        <f aca="false">IF(OR(B45="",D45=0),"",AVERAGEIFS(上位10件データ!$G:$G,上位10件データ!$A:$A,$B45))</f>
        <v/>
      </c>
      <c r="F45" s="28" t="str">
        <f aca="false">IF(OR(B45="",D45=0),"",SUMIFS(上位10件データ!$G:$G,上位10件データ!$A:$A,$B45))</f>
        <v/>
      </c>
      <c r="G45" s="28" t="str">
        <f aca="false">IF(OR(B45="",D45=0),"",AVERAGEIFS(上位10件データ!$E:$E,上位10件データ!$A:$A,$B45))</f>
        <v/>
      </c>
      <c r="H45" s="19" t="str">
        <f aca="false">IF(OR(B45="",D45=0),"",COUNTIFS(上位10件データ!$A:$A,$B45,上位10件データ!$F:$F,"&gt;=1000"))</f>
        <v/>
      </c>
      <c r="I45" s="19" t="str">
        <f aca="false">IF(OR(B45="",D45=0),"",COUNTIFS(上位10件データ!$A:$A,$B45,上位10件データ!$F:$F,"&lt;100"))</f>
        <v/>
      </c>
      <c r="J45" s="19" t="str">
        <f aca="false">IF(E45="","",COUNTIF(L45:O45,"○")+IF(P45&gt;=0.5,1,0))</f>
        <v/>
      </c>
      <c r="K45" s="29" t="str">
        <f aca="false">IF(J45="","",IF(J45&gt;=設定!$B$19,"◎ 有力",IF(J45&gt;=設定!$B$20,"○ 候補",IF(J45&gt;=3,"△ 要検討","× 見送り"))))</f>
        <v/>
      </c>
      <c r="L45" s="19" t="str">
        <f aca="false">IF(E45="","",IF(E45&gt;=設定!$B$14,"○","×"))</f>
        <v/>
      </c>
      <c r="M45" s="19" t="str">
        <f aca="false">IF(H45="","",IF(H45&lt;=設定!$B$15,"○","×"))</f>
        <v/>
      </c>
      <c r="N45" s="19" t="str">
        <f aca="false">IF(I45="","",IF(I45&gt;=設定!$B$16,"○","×"))</f>
        <v/>
      </c>
      <c r="O45" s="19" t="str">
        <f aca="false">IF(G45="","",IF(AND(G45&gt;=設定!$B$17,G45&lt;=設定!$B$18),"○","×"))</f>
        <v/>
      </c>
      <c r="P45" s="30" t="str">
        <f aca="false">IF(OR(B45="",D45=0),"",COUNTIFS(上位10件データ!$A:$A,$B45,上位10件データ!$H:$H,"はい")/D45)</f>
        <v/>
      </c>
      <c r="Q45" s="22"/>
    </row>
    <row r="46" customFormat="false" ht="15" hidden="false" customHeight="true" outlineLevel="0" collapsed="false">
      <c r="A46" s="19" t="str">
        <f aca="false">IF(B46="","",ROW()-1)</f>
        <v/>
      </c>
      <c r="B46" s="22"/>
      <c r="C46" s="9"/>
      <c r="D46" s="19" t="str">
        <f aca="false">IF(B46="","",COUNTIFS(上位10件データ!$A:$A,$B46))</f>
        <v/>
      </c>
      <c r="E46" s="28" t="str">
        <f aca="false">IF(OR(B46="",D46=0),"",AVERAGEIFS(上位10件データ!$G:$G,上位10件データ!$A:$A,$B46))</f>
        <v/>
      </c>
      <c r="F46" s="28" t="str">
        <f aca="false">IF(OR(B46="",D46=0),"",SUMIFS(上位10件データ!$G:$G,上位10件データ!$A:$A,$B46))</f>
        <v/>
      </c>
      <c r="G46" s="28" t="str">
        <f aca="false">IF(OR(B46="",D46=0),"",AVERAGEIFS(上位10件データ!$E:$E,上位10件データ!$A:$A,$B46))</f>
        <v/>
      </c>
      <c r="H46" s="19" t="str">
        <f aca="false">IF(OR(B46="",D46=0),"",COUNTIFS(上位10件データ!$A:$A,$B46,上位10件データ!$F:$F,"&gt;=1000"))</f>
        <v/>
      </c>
      <c r="I46" s="19" t="str">
        <f aca="false">IF(OR(B46="",D46=0),"",COUNTIFS(上位10件データ!$A:$A,$B46,上位10件データ!$F:$F,"&lt;100"))</f>
        <v/>
      </c>
      <c r="J46" s="19" t="str">
        <f aca="false">IF(E46="","",COUNTIF(L46:O46,"○")+IF(P46&gt;=0.5,1,0))</f>
        <v/>
      </c>
      <c r="K46" s="29" t="str">
        <f aca="false">IF(J46="","",IF(J46&gt;=設定!$B$19,"◎ 有力",IF(J46&gt;=設定!$B$20,"○ 候補",IF(J46&gt;=3,"△ 要検討","× 見送り"))))</f>
        <v/>
      </c>
      <c r="L46" s="19" t="str">
        <f aca="false">IF(E46="","",IF(E46&gt;=設定!$B$14,"○","×"))</f>
        <v/>
      </c>
      <c r="M46" s="19" t="str">
        <f aca="false">IF(H46="","",IF(H46&lt;=設定!$B$15,"○","×"))</f>
        <v/>
      </c>
      <c r="N46" s="19" t="str">
        <f aca="false">IF(I46="","",IF(I46&gt;=設定!$B$16,"○","×"))</f>
        <v/>
      </c>
      <c r="O46" s="19" t="str">
        <f aca="false">IF(G46="","",IF(AND(G46&gt;=設定!$B$17,G46&lt;=設定!$B$18),"○","×"))</f>
        <v/>
      </c>
      <c r="P46" s="30" t="str">
        <f aca="false">IF(OR(B46="",D46=0),"",COUNTIFS(上位10件データ!$A:$A,$B46,上位10件データ!$H:$H,"はい")/D46)</f>
        <v/>
      </c>
      <c r="Q46" s="22"/>
    </row>
    <row r="47" customFormat="false" ht="15" hidden="false" customHeight="true" outlineLevel="0" collapsed="false">
      <c r="A47" s="19" t="str">
        <f aca="false">IF(B47="","",ROW()-1)</f>
        <v/>
      </c>
      <c r="B47" s="22"/>
      <c r="C47" s="9"/>
      <c r="D47" s="19" t="str">
        <f aca="false">IF(B47="","",COUNTIFS(上位10件データ!$A:$A,$B47))</f>
        <v/>
      </c>
      <c r="E47" s="28" t="str">
        <f aca="false">IF(OR(B47="",D47=0),"",AVERAGEIFS(上位10件データ!$G:$G,上位10件データ!$A:$A,$B47))</f>
        <v/>
      </c>
      <c r="F47" s="28" t="str">
        <f aca="false">IF(OR(B47="",D47=0),"",SUMIFS(上位10件データ!$G:$G,上位10件データ!$A:$A,$B47))</f>
        <v/>
      </c>
      <c r="G47" s="28" t="str">
        <f aca="false">IF(OR(B47="",D47=0),"",AVERAGEIFS(上位10件データ!$E:$E,上位10件データ!$A:$A,$B47))</f>
        <v/>
      </c>
      <c r="H47" s="19" t="str">
        <f aca="false">IF(OR(B47="",D47=0),"",COUNTIFS(上位10件データ!$A:$A,$B47,上位10件データ!$F:$F,"&gt;=1000"))</f>
        <v/>
      </c>
      <c r="I47" s="19" t="str">
        <f aca="false">IF(OR(B47="",D47=0),"",COUNTIFS(上位10件データ!$A:$A,$B47,上位10件データ!$F:$F,"&lt;100"))</f>
        <v/>
      </c>
      <c r="J47" s="19" t="str">
        <f aca="false">IF(E47="","",COUNTIF(L47:O47,"○")+IF(P47&gt;=0.5,1,0))</f>
        <v/>
      </c>
      <c r="K47" s="29" t="str">
        <f aca="false">IF(J47="","",IF(J47&gt;=設定!$B$19,"◎ 有力",IF(J47&gt;=設定!$B$20,"○ 候補",IF(J47&gt;=3,"△ 要検討","× 見送り"))))</f>
        <v/>
      </c>
      <c r="L47" s="19" t="str">
        <f aca="false">IF(E47="","",IF(E47&gt;=設定!$B$14,"○","×"))</f>
        <v/>
      </c>
      <c r="M47" s="19" t="str">
        <f aca="false">IF(H47="","",IF(H47&lt;=設定!$B$15,"○","×"))</f>
        <v/>
      </c>
      <c r="N47" s="19" t="str">
        <f aca="false">IF(I47="","",IF(I47&gt;=設定!$B$16,"○","×"))</f>
        <v/>
      </c>
      <c r="O47" s="19" t="str">
        <f aca="false">IF(G47="","",IF(AND(G47&gt;=設定!$B$17,G47&lt;=設定!$B$18),"○","×"))</f>
        <v/>
      </c>
      <c r="P47" s="30" t="str">
        <f aca="false">IF(OR(B47="",D47=0),"",COUNTIFS(上位10件データ!$A:$A,$B47,上位10件データ!$H:$H,"はい")/D47)</f>
        <v/>
      </c>
      <c r="Q47" s="22"/>
    </row>
    <row r="48" customFormat="false" ht="15" hidden="false" customHeight="true" outlineLevel="0" collapsed="false">
      <c r="A48" s="19" t="str">
        <f aca="false">IF(B48="","",ROW()-1)</f>
        <v/>
      </c>
      <c r="B48" s="22"/>
      <c r="C48" s="9"/>
      <c r="D48" s="19" t="str">
        <f aca="false">IF(B48="","",COUNTIFS(上位10件データ!$A:$A,$B48))</f>
        <v/>
      </c>
      <c r="E48" s="28" t="str">
        <f aca="false">IF(OR(B48="",D48=0),"",AVERAGEIFS(上位10件データ!$G:$G,上位10件データ!$A:$A,$B48))</f>
        <v/>
      </c>
      <c r="F48" s="28" t="str">
        <f aca="false">IF(OR(B48="",D48=0),"",SUMIFS(上位10件データ!$G:$G,上位10件データ!$A:$A,$B48))</f>
        <v/>
      </c>
      <c r="G48" s="28" t="str">
        <f aca="false">IF(OR(B48="",D48=0),"",AVERAGEIFS(上位10件データ!$E:$E,上位10件データ!$A:$A,$B48))</f>
        <v/>
      </c>
      <c r="H48" s="19" t="str">
        <f aca="false">IF(OR(B48="",D48=0),"",COUNTIFS(上位10件データ!$A:$A,$B48,上位10件データ!$F:$F,"&gt;=1000"))</f>
        <v/>
      </c>
      <c r="I48" s="19" t="str">
        <f aca="false">IF(OR(B48="",D48=0),"",COUNTIFS(上位10件データ!$A:$A,$B48,上位10件データ!$F:$F,"&lt;100"))</f>
        <v/>
      </c>
      <c r="J48" s="19" t="str">
        <f aca="false">IF(E48="","",COUNTIF(L48:O48,"○")+IF(P48&gt;=0.5,1,0))</f>
        <v/>
      </c>
      <c r="K48" s="29" t="str">
        <f aca="false">IF(J48="","",IF(J48&gt;=設定!$B$19,"◎ 有力",IF(J48&gt;=設定!$B$20,"○ 候補",IF(J48&gt;=3,"△ 要検討","× 見送り"))))</f>
        <v/>
      </c>
      <c r="L48" s="19" t="str">
        <f aca="false">IF(E48="","",IF(E48&gt;=設定!$B$14,"○","×"))</f>
        <v/>
      </c>
      <c r="M48" s="19" t="str">
        <f aca="false">IF(H48="","",IF(H48&lt;=設定!$B$15,"○","×"))</f>
        <v/>
      </c>
      <c r="N48" s="19" t="str">
        <f aca="false">IF(I48="","",IF(I48&gt;=設定!$B$16,"○","×"))</f>
        <v/>
      </c>
      <c r="O48" s="19" t="str">
        <f aca="false">IF(G48="","",IF(AND(G48&gt;=設定!$B$17,G48&lt;=設定!$B$18),"○","×"))</f>
        <v/>
      </c>
      <c r="P48" s="30" t="str">
        <f aca="false">IF(OR(B48="",D48=0),"",COUNTIFS(上位10件データ!$A:$A,$B48,上位10件データ!$H:$H,"はい")/D48)</f>
        <v/>
      </c>
      <c r="Q48" s="22"/>
    </row>
    <row r="49" customFormat="false" ht="15" hidden="false" customHeight="true" outlineLevel="0" collapsed="false">
      <c r="A49" s="19" t="str">
        <f aca="false">IF(B49="","",ROW()-1)</f>
        <v/>
      </c>
      <c r="B49" s="22"/>
      <c r="C49" s="9"/>
      <c r="D49" s="19" t="str">
        <f aca="false">IF(B49="","",COUNTIFS(上位10件データ!$A:$A,$B49))</f>
        <v/>
      </c>
      <c r="E49" s="28" t="str">
        <f aca="false">IF(OR(B49="",D49=0),"",AVERAGEIFS(上位10件データ!$G:$G,上位10件データ!$A:$A,$B49))</f>
        <v/>
      </c>
      <c r="F49" s="28" t="str">
        <f aca="false">IF(OR(B49="",D49=0),"",SUMIFS(上位10件データ!$G:$G,上位10件データ!$A:$A,$B49))</f>
        <v/>
      </c>
      <c r="G49" s="28" t="str">
        <f aca="false">IF(OR(B49="",D49=0),"",AVERAGEIFS(上位10件データ!$E:$E,上位10件データ!$A:$A,$B49))</f>
        <v/>
      </c>
      <c r="H49" s="19" t="str">
        <f aca="false">IF(OR(B49="",D49=0),"",COUNTIFS(上位10件データ!$A:$A,$B49,上位10件データ!$F:$F,"&gt;=1000"))</f>
        <v/>
      </c>
      <c r="I49" s="19" t="str">
        <f aca="false">IF(OR(B49="",D49=0),"",COUNTIFS(上位10件データ!$A:$A,$B49,上位10件データ!$F:$F,"&lt;100"))</f>
        <v/>
      </c>
      <c r="J49" s="19" t="str">
        <f aca="false">IF(E49="","",COUNTIF(L49:O49,"○")+IF(P49&gt;=0.5,1,0))</f>
        <v/>
      </c>
      <c r="K49" s="29" t="str">
        <f aca="false">IF(J49="","",IF(J49&gt;=設定!$B$19,"◎ 有力",IF(J49&gt;=設定!$B$20,"○ 候補",IF(J49&gt;=3,"△ 要検討","× 見送り"))))</f>
        <v/>
      </c>
      <c r="L49" s="19" t="str">
        <f aca="false">IF(E49="","",IF(E49&gt;=設定!$B$14,"○","×"))</f>
        <v/>
      </c>
      <c r="M49" s="19" t="str">
        <f aca="false">IF(H49="","",IF(H49&lt;=設定!$B$15,"○","×"))</f>
        <v/>
      </c>
      <c r="N49" s="19" t="str">
        <f aca="false">IF(I49="","",IF(I49&gt;=設定!$B$16,"○","×"))</f>
        <v/>
      </c>
      <c r="O49" s="19" t="str">
        <f aca="false">IF(G49="","",IF(AND(G49&gt;=設定!$B$17,G49&lt;=設定!$B$18),"○","×"))</f>
        <v/>
      </c>
      <c r="P49" s="30" t="str">
        <f aca="false">IF(OR(B49="",D49=0),"",COUNTIFS(上位10件データ!$A:$A,$B49,上位10件データ!$H:$H,"はい")/D49)</f>
        <v/>
      </c>
      <c r="Q49" s="22"/>
    </row>
    <row r="50" customFormat="false" ht="15" hidden="false" customHeight="true" outlineLevel="0" collapsed="false">
      <c r="A50" s="19" t="str">
        <f aca="false">IF(B50="","",ROW()-1)</f>
        <v/>
      </c>
      <c r="B50" s="22"/>
      <c r="C50" s="9"/>
      <c r="D50" s="19" t="str">
        <f aca="false">IF(B50="","",COUNTIFS(上位10件データ!$A:$A,$B50))</f>
        <v/>
      </c>
      <c r="E50" s="28" t="str">
        <f aca="false">IF(OR(B50="",D50=0),"",AVERAGEIFS(上位10件データ!$G:$G,上位10件データ!$A:$A,$B50))</f>
        <v/>
      </c>
      <c r="F50" s="28" t="str">
        <f aca="false">IF(OR(B50="",D50=0),"",SUMIFS(上位10件データ!$G:$G,上位10件データ!$A:$A,$B50))</f>
        <v/>
      </c>
      <c r="G50" s="28" t="str">
        <f aca="false">IF(OR(B50="",D50=0),"",AVERAGEIFS(上位10件データ!$E:$E,上位10件データ!$A:$A,$B50))</f>
        <v/>
      </c>
      <c r="H50" s="19" t="str">
        <f aca="false">IF(OR(B50="",D50=0),"",COUNTIFS(上位10件データ!$A:$A,$B50,上位10件データ!$F:$F,"&gt;=1000"))</f>
        <v/>
      </c>
      <c r="I50" s="19" t="str">
        <f aca="false">IF(OR(B50="",D50=0),"",COUNTIFS(上位10件データ!$A:$A,$B50,上位10件データ!$F:$F,"&lt;100"))</f>
        <v/>
      </c>
      <c r="J50" s="19" t="str">
        <f aca="false">IF(E50="","",COUNTIF(L50:O50,"○")+IF(P50&gt;=0.5,1,0))</f>
        <v/>
      </c>
      <c r="K50" s="29" t="str">
        <f aca="false">IF(J50="","",IF(J50&gt;=設定!$B$19,"◎ 有力",IF(J50&gt;=設定!$B$20,"○ 候補",IF(J50&gt;=3,"△ 要検討","× 見送り"))))</f>
        <v/>
      </c>
      <c r="L50" s="19" t="str">
        <f aca="false">IF(E50="","",IF(E50&gt;=設定!$B$14,"○","×"))</f>
        <v/>
      </c>
      <c r="M50" s="19" t="str">
        <f aca="false">IF(H50="","",IF(H50&lt;=設定!$B$15,"○","×"))</f>
        <v/>
      </c>
      <c r="N50" s="19" t="str">
        <f aca="false">IF(I50="","",IF(I50&gt;=設定!$B$16,"○","×"))</f>
        <v/>
      </c>
      <c r="O50" s="19" t="str">
        <f aca="false">IF(G50="","",IF(AND(G50&gt;=設定!$B$17,G50&lt;=設定!$B$18),"○","×"))</f>
        <v/>
      </c>
      <c r="P50" s="30" t="str">
        <f aca="false">IF(OR(B50="",D50=0),"",COUNTIFS(上位10件データ!$A:$A,$B50,上位10件データ!$H:$H,"はい")/D50)</f>
        <v/>
      </c>
      <c r="Q50" s="22"/>
    </row>
    <row r="51" customFormat="false" ht="15" hidden="false" customHeight="true" outlineLevel="0" collapsed="false">
      <c r="A51" s="19" t="str">
        <f aca="false">IF(B51="","",ROW()-1)</f>
        <v/>
      </c>
      <c r="B51" s="22"/>
      <c r="C51" s="9"/>
      <c r="D51" s="19" t="str">
        <f aca="false">IF(B51="","",COUNTIFS(上位10件データ!$A:$A,$B51))</f>
        <v/>
      </c>
      <c r="E51" s="28" t="str">
        <f aca="false">IF(OR(B51="",D51=0),"",AVERAGEIFS(上位10件データ!$G:$G,上位10件データ!$A:$A,$B51))</f>
        <v/>
      </c>
      <c r="F51" s="28" t="str">
        <f aca="false">IF(OR(B51="",D51=0),"",SUMIFS(上位10件データ!$G:$G,上位10件データ!$A:$A,$B51))</f>
        <v/>
      </c>
      <c r="G51" s="28" t="str">
        <f aca="false">IF(OR(B51="",D51=0),"",AVERAGEIFS(上位10件データ!$E:$E,上位10件データ!$A:$A,$B51))</f>
        <v/>
      </c>
      <c r="H51" s="19" t="str">
        <f aca="false">IF(OR(B51="",D51=0),"",COUNTIFS(上位10件データ!$A:$A,$B51,上位10件データ!$F:$F,"&gt;=1000"))</f>
        <v/>
      </c>
      <c r="I51" s="19" t="str">
        <f aca="false">IF(OR(B51="",D51=0),"",COUNTIFS(上位10件データ!$A:$A,$B51,上位10件データ!$F:$F,"&lt;100"))</f>
        <v/>
      </c>
      <c r="J51" s="19" t="str">
        <f aca="false">IF(E51="","",COUNTIF(L51:O51,"○")+IF(P51&gt;=0.5,1,0))</f>
        <v/>
      </c>
      <c r="K51" s="29" t="str">
        <f aca="false">IF(J51="","",IF(J51&gt;=設定!$B$19,"◎ 有力",IF(J51&gt;=設定!$B$20,"○ 候補",IF(J51&gt;=3,"△ 要検討","× 見送り"))))</f>
        <v/>
      </c>
      <c r="L51" s="19" t="str">
        <f aca="false">IF(E51="","",IF(E51&gt;=設定!$B$14,"○","×"))</f>
        <v/>
      </c>
      <c r="M51" s="19" t="str">
        <f aca="false">IF(H51="","",IF(H51&lt;=設定!$B$15,"○","×"))</f>
        <v/>
      </c>
      <c r="N51" s="19" t="str">
        <f aca="false">IF(I51="","",IF(I51&gt;=設定!$B$16,"○","×"))</f>
        <v/>
      </c>
      <c r="O51" s="19" t="str">
        <f aca="false">IF(G51="","",IF(AND(G51&gt;=設定!$B$17,G51&lt;=設定!$B$18),"○","×"))</f>
        <v/>
      </c>
      <c r="P51" s="30" t="str">
        <f aca="false">IF(OR(B51="",D51=0),"",COUNTIFS(上位10件データ!$A:$A,$B51,上位10件データ!$H:$H,"はい")/D51)</f>
        <v/>
      </c>
      <c r="Q51" s="22"/>
    </row>
    <row r="52" customFormat="false" ht="15" hidden="false" customHeight="true" outlineLevel="0" collapsed="false">
      <c r="A52" s="19" t="str">
        <f aca="false">IF(B52="","",ROW()-1)</f>
        <v/>
      </c>
      <c r="B52" s="22"/>
      <c r="C52" s="9"/>
      <c r="D52" s="19" t="str">
        <f aca="false">IF(B52="","",COUNTIFS(上位10件データ!$A:$A,$B52))</f>
        <v/>
      </c>
      <c r="E52" s="28" t="str">
        <f aca="false">IF(OR(B52="",D52=0),"",AVERAGEIFS(上位10件データ!$G:$G,上位10件データ!$A:$A,$B52))</f>
        <v/>
      </c>
      <c r="F52" s="28" t="str">
        <f aca="false">IF(OR(B52="",D52=0),"",SUMIFS(上位10件データ!$G:$G,上位10件データ!$A:$A,$B52))</f>
        <v/>
      </c>
      <c r="G52" s="28" t="str">
        <f aca="false">IF(OR(B52="",D52=0),"",AVERAGEIFS(上位10件データ!$E:$E,上位10件データ!$A:$A,$B52))</f>
        <v/>
      </c>
      <c r="H52" s="19" t="str">
        <f aca="false">IF(OR(B52="",D52=0),"",COUNTIFS(上位10件データ!$A:$A,$B52,上位10件データ!$F:$F,"&gt;=1000"))</f>
        <v/>
      </c>
      <c r="I52" s="19" t="str">
        <f aca="false">IF(OR(B52="",D52=0),"",COUNTIFS(上位10件データ!$A:$A,$B52,上位10件データ!$F:$F,"&lt;100"))</f>
        <v/>
      </c>
      <c r="J52" s="19" t="str">
        <f aca="false">IF(E52="","",COUNTIF(L52:O52,"○")+IF(P52&gt;=0.5,1,0))</f>
        <v/>
      </c>
      <c r="K52" s="29" t="str">
        <f aca="false">IF(J52="","",IF(J52&gt;=設定!$B$19,"◎ 有力",IF(J52&gt;=設定!$B$20,"○ 候補",IF(J52&gt;=3,"△ 要検討","× 見送り"))))</f>
        <v/>
      </c>
      <c r="L52" s="19" t="str">
        <f aca="false">IF(E52="","",IF(E52&gt;=設定!$B$14,"○","×"))</f>
        <v/>
      </c>
      <c r="M52" s="19" t="str">
        <f aca="false">IF(H52="","",IF(H52&lt;=設定!$B$15,"○","×"))</f>
        <v/>
      </c>
      <c r="N52" s="19" t="str">
        <f aca="false">IF(I52="","",IF(I52&gt;=設定!$B$16,"○","×"))</f>
        <v/>
      </c>
      <c r="O52" s="19" t="str">
        <f aca="false">IF(G52="","",IF(AND(G52&gt;=設定!$B$17,G52&lt;=設定!$B$18),"○","×"))</f>
        <v/>
      </c>
      <c r="P52" s="30" t="str">
        <f aca="false">IF(OR(B52="",D52=0),"",COUNTIFS(上位10件データ!$A:$A,$B52,上位10件データ!$H:$H,"はい")/D52)</f>
        <v/>
      </c>
      <c r="Q52" s="22"/>
    </row>
    <row r="53" customFormat="false" ht="15" hidden="false" customHeight="true" outlineLevel="0" collapsed="false">
      <c r="A53" s="19" t="str">
        <f aca="false">IF(B53="","",ROW()-1)</f>
        <v/>
      </c>
      <c r="B53" s="22"/>
      <c r="C53" s="9"/>
      <c r="D53" s="19" t="str">
        <f aca="false">IF(B53="","",COUNTIFS(上位10件データ!$A:$A,$B53))</f>
        <v/>
      </c>
      <c r="E53" s="28" t="str">
        <f aca="false">IF(OR(B53="",D53=0),"",AVERAGEIFS(上位10件データ!$G:$G,上位10件データ!$A:$A,$B53))</f>
        <v/>
      </c>
      <c r="F53" s="28" t="str">
        <f aca="false">IF(OR(B53="",D53=0),"",SUMIFS(上位10件データ!$G:$G,上位10件データ!$A:$A,$B53))</f>
        <v/>
      </c>
      <c r="G53" s="28" t="str">
        <f aca="false">IF(OR(B53="",D53=0),"",AVERAGEIFS(上位10件データ!$E:$E,上位10件データ!$A:$A,$B53))</f>
        <v/>
      </c>
      <c r="H53" s="19" t="str">
        <f aca="false">IF(OR(B53="",D53=0),"",COUNTIFS(上位10件データ!$A:$A,$B53,上位10件データ!$F:$F,"&gt;=1000"))</f>
        <v/>
      </c>
      <c r="I53" s="19" t="str">
        <f aca="false">IF(OR(B53="",D53=0),"",COUNTIFS(上位10件データ!$A:$A,$B53,上位10件データ!$F:$F,"&lt;100"))</f>
        <v/>
      </c>
      <c r="J53" s="19" t="str">
        <f aca="false">IF(E53="","",COUNTIF(L53:O53,"○")+IF(P53&gt;=0.5,1,0))</f>
        <v/>
      </c>
      <c r="K53" s="29" t="str">
        <f aca="false">IF(J53="","",IF(J53&gt;=設定!$B$19,"◎ 有力",IF(J53&gt;=設定!$B$20,"○ 候補",IF(J53&gt;=3,"△ 要検討","× 見送り"))))</f>
        <v/>
      </c>
      <c r="L53" s="19" t="str">
        <f aca="false">IF(E53="","",IF(E53&gt;=設定!$B$14,"○","×"))</f>
        <v/>
      </c>
      <c r="M53" s="19" t="str">
        <f aca="false">IF(H53="","",IF(H53&lt;=設定!$B$15,"○","×"))</f>
        <v/>
      </c>
      <c r="N53" s="19" t="str">
        <f aca="false">IF(I53="","",IF(I53&gt;=設定!$B$16,"○","×"))</f>
        <v/>
      </c>
      <c r="O53" s="19" t="str">
        <f aca="false">IF(G53="","",IF(AND(G53&gt;=設定!$B$17,G53&lt;=設定!$B$18),"○","×"))</f>
        <v/>
      </c>
      <c r="P53" s="30" t="str">
        <f aca="false">IF(OR(B53="",D53=0),"",COUNTIFS(上位10件データ!$A:$A,$B53,上位10件データ!$H:$H,"はい")/D53)</f>
        <v/>
      </c>
      <c r="Q53" s="22"/>
    </row>
    <row r="54" customFormat="false" ht="15" hidden="false" customHeight="true" outlineLevel="0" collapsed="false">
      <c r="A54" s="19" t="str">
        <f aca="false">IF(B54="","",ROW()-1)</f>
        <v/>
      </c>
      <c r="B54" s="22"/>
      <c r="C54" s="9"/>
      <c r="D54" s="19" t="str">
        <f aca="false">IF(B54="","",COUNTIFS(上位10件データ!$A:$A,$B54))</f>
        <v/>
      </c>
      <c r="E54" s="28" t="str">
        <f aca="false">IF(OR(B54="",D54=0),"",AVERAGEIFS(上位10件データ!$G:$G,上位10件データ!$A:$A,$B54))</f>
        <v/>
      </c>
      <c r="F54" s="28" t="str">
        <f aca="false">IF(OR(B54="",D54=0),"",SUMIFS(上位10件データ!$G:$G,上位10件データ!$A:$A,$B54))</f>
        <v/>
      </c>
      <c r="G54" s="28" t="str">
        <f aca="false">IF(OR(B54="",D54=0),"",AVERAGEIFS(上位10件データ!$E:$E,上位10件データ!$A:$A,$B54))</f>
        <v/>
      </c>
      <c r="H54" s="19" t="str">
        <f aca="false">IF(OR(B54="",D54=0),"",COUNTIFS(上位10件データ!$A:$A,$B54,上位10件データ!$F:$F,"&gt;=1000"))</f>
        <v/>
      </c>
      <c r="I54" s="19" t="str">
        <f aca="false">IF(OR(B54="",D54=0),"",COUNTIFS(上位10件データ!$A:$A,$B54,上位10件データ!$F:$F,"&lt;100"))</f>
        <v/>
      </c>
      <c r="J54" s="19" t="str">
        <f aca="false">IF(E54="","",COUNTIF(L54:O54,"○")+IF(P54&gt;=0.5,1,0))</f>
        <v/>
      </c>
      <c r="K54" s="29" t="str">
        <f aca="false">IF(J54="","",IF(J54&gt;=設定!$B$19,"◎ 有力",IF(J54&gt;=設定!$B$20,"○ 候補",IF(J54&gt;=3,"△ 要検討","× 見送り"))))</f>
        <v/>
      </c>
      <c r="L54" s="19" t="str">
        <f aca="false">IF(E54="","",IF(E54&gt;=設定!$B$14,"○","×"))</f>
        <v/>
      </c>
      <c r="M54" s="19" t="str">
        <f aca="false">IF(H54="","",IF(H54&lt;=設定!$B$15,"○","×"))</f>
        <v/>
      </c>
      <c r="N54" s="19" t="str">
        <f aca="false">IF(I54="","",IF(I54&gt;=設定!$B$16,"○","×"))</f>
        <v/>
      </c>
      <c r="O54" s="19" t="str">
        <f aca="false">IF(G54="","",IF(AND(G54&gt;=設定!$B$17,G54&lt;=設定!$B$18),"○","×"))</f>
        <v/>
      </c>
      <c r="P54" s="30" t="str">
        <f aca="false">IF(OR(B54="",D54=0),"",COUNTIFS(上位10件データ!$A:$A,$B54,上位10件データ!$H:$H,"はい")/D54)</f>
        <v/>
      </c>
      <c r="Q54" s="22"/>
    </row>
    <row r="55" customFormat="false" ht="15" hidden="false" customHeight="true" outlineLevel="0" collapsed="false">
      <c r="A55" s="19" t="str">
        <f aca="false">IF(B55="","",ROW()-1)</f>
        <v/>
      </c>
      <c r="B55" s="22"/>
      <c r="C55" s="9"/>
      <c r="D55" s="19" t="str">
        <f aca="false">IF(B55="","",COUNTIFS(上位10件データ!$A:$A,$B55))</f>
        <v/>
      </c>
      <c r="E55" s="28" t="str">
        <f aca="false">IF(OR(B55="",D55=0),"",AVERAGEIFS(上位10件データ!$G:$G,上位10件データ!$A:$A,$B55))</f>
        <v/>
      </c>
      <c r="F55" s="28" t="str">
        <f aca="false">IF(OR(B55="",D55=0),"",SUMIFS(上位10件データ!$G:$G,上位10件データ!$A:$A,$B55))</f>
        <v/>
      </c>
      <c r="G55" s="28" t="str">
        <f aca="false">IF(OR(B55="",D55=0),"",AVERAGEIFS(上位10件データ!$E:$E,上位10件データ!$A:$A,$B55))</f>
        <v/>
      </c>
      <c r="H55" s="19" t="str">
        <f aca="false">IF(OR(B55="",D55=0),"",COUNTIFS(上位10件データ!$A:$A,$B55,上位10件データ!$F:$F,"&gt;=1000"))</f>
        <v/>
      </c>
      <c r="I55" s="19" t="str">
        <f aca="false">IF(OR(B55="",D55=0),"",COUNTIFS(上位10件データ!$A:$A,$B55,上位10件データ!$F:$F,"&lt;100"))</f>
        <v/>
      </c>
      <c r="J55" s="19" t="str">
        <f aca="false">IF(E55="","",COUNTIF(L55:O55,"○")+IF(P55&gt;=0.5,1,0))</f>
        <v/>
      </c>
      <c r="K55" s="29" t="str">
        <f aca="false">IF(J55="","",IF(J55&gt;=設定!$B$19,"◎ 有力",IF(J55&gt;=設定!$B$20,"○ 候補",IF(J55&gt;=3,"△ 要検討","× 見送り"))))</f>
        <v/>
      </c>
      <c r="L55" s="19" t="str">
        <f aca="false">IF(E55="","",IF(E55&gt;=設定!$B$14,"○","×"))</f>
        <v/>
      </c>
      <c r="M55" s="19" t="str">
        <f aca="false">IF(H55="","",IF(H55&lt;=設定!$B$15,"○","×"))</f>
        <v/>
      </c>
      <c r="N55" s="19" t="str">
        <f aca="false">IF(I55="","",IF(I55&gt;=設定!$B$16,"○","×"))</f>
        <v/>
      </c>
      <c r="O55" s="19" t="str">
        <f aca="false">IF(G55="","",IF(AND(G55&gt;=設定!$B$17,G55&lt;=設定!$B$18),"○","×"))</f>
        <v/>
      </c>
      <c r="P55" s="30" t="str">
        <f aca="false">IF(OR(B55="",D55=0),"",COUNTIFS(上位10件データ!$A:$A,$B55,上位10件データ!$H:$H,"はい")/D55)</f>
        <v/>
      </c>
      <c r="Q55" s="22"/>
    </row>
    <row r="56" customFormat="false" ht="15" hidden="false" customHeight="true" outlineLevel="0" collapsed="false">
      <c r="A56" s="19" t="str">
        <f aca="false">IF(B56="","",ROW()-1)</f>
        <v/>
      </c>
      <c r="B56" s="22"/>
      <c r="C56" s="9"/>
      <c r="D56" s="19" t="str">
        <f aca="false">IF(B56="","",COUNTIFS(上位10件データ!$A:$A,$B56))</f>
        <v/>
      </c>
      <c r="E56" s="28" t="str">
        <f aca="false">IF(OR(B56="",D56=0),"",AVERAGEIFS(上位10件データ!$G:$G,上位10件データ!$A:$A,$B56))</f>
        <v/>
      </c>
      <c r="F56" s="28" t="str">
        <f aca="false">IF(OR(B56="",D56=0),"",SUMIFS(上位10件データ!$G:$G,上位10件データ!$A:$A,$B56))</f>
        <v/>
      </c>
      <c r="G56" s="28" t="str">
        <f aca="false">IF(OR(B56="",D56=0),"",AVERAGEIFS(上位10件データ!$E:$E,上位10件データ!$A:$A,$B56))</f>
        <v/>
      </c>
      <c r="H56" s="19" t="str">
        <f aca="false">IF(OR(B56="",D56=0),"",COUNTIFS(上位10件データ!$A:$A,$B56,上位10件データ!$F:$F,"&gt;=1000"))</f>
        <v/>
      </c>
      <c r="I56" s="19" t="str">
        <f aca="false">IF(OR(B56="",D56=0),"",COUNTIFS(上位10件データ!$A:$A,$B56,上位10件データ!$F:$F,"&lt;100"))</f>
        <v/>
      </c>
      <c r="J56" s="19" t="str">
        <f aca="false">IF(E56="","",COUNTIF(L56:O56,"○")+IF(P56&gt;=0.5,1,0))</f>
        <v/>
      </c>
      <c r="K56" s="29" t="str">
        <f aca="false">IF(J56="","",IF(J56&gt;=設定!$B$19,"◎ 有力",IF(J56&gt;=設定!$B$20,"○ 候補",IF(J56&gt;=3,"△ 要検討","× 見送り"))))</f>
        <v/>
      </c>
      <c r="L56" s="19" t="str">
        <f aca="false">IF(E56="","",IF(E56&gt;=設定!$B$14,"○","×"))</f>
        <v/>
      </c>
      <c r="M56" s="19" t="str">
        <f aca="false">IF(H56="","",IF(H56&lt;=設定!$B$15,"○","×"))</f>
        <v/>
      </c>
      <c r="N56" s="19" t="str">
        <f aca="false">IF(I56="","",IF(I56&gt;=設定!$B$16,"○","×"))</f>
        <v/>
      </c>
      <c r="O56" s="19" t="str">
        <f aca="false">IF(G56="","",IF(AND(G56&gt;=設定!$B$17,G56&lt;=設定!$B$18),"○","×"))</f>
        <v/>
      </c>
      <c r="P56" s="30" t="str">
        <f aca="false">IF(OR(B56="",D56=0),"",COUNTIFS(上位10件データ!$A:$A,$B56,上位10件データ!$H:$H,"はい")/D56)</f>
        <v/>
      </c>
      <c r="Q56" s="22"/>
    </row>
    <row r="57" customFormat="false" ht="15" hidden="false" customHeight="true" outlineLevel="0" collapsed="false">
      <c r="A57" s="19" t="str">
        <f aca="false">IF(B57="","",ROW()-1)</f>
        <v/>
      </c>
      <c r="B57" s="22"/>
      <c r="C57" s="9"/>
      <c r="D57" s="19" t="str">
        <f aca="false">IF(B57="","",COUNTIFS(上位10件データ!$A:$A,$B57))</f>
        <v/>
      </c>
      <c r="E57" s="28" t="str">
        <f aca="false">IF(OR(B57="",D57=0),"",AVERAGEIFS(上位10件データ!$G:$G,上位10件データ!$A:$A,$B57))</f>
        <v/>
      </c>
      <c r="F57" s="28" t="str">
        <f aca="false">IF(OR(B57="",D57=0),"",SUMIFS(上位10件データ!$G:$G,上位10件データ!$A:$A,$B57))</f>
        <v/>
      </c>
      <c r="G57" s="28" t="str">
        <f aca="false">IF(OR(B57="",D57=0),"",AVERAGEIFS(上位10件データ!$E:$E,上位10件データ!$A:$A,$B57))</f>
        <v/>
      </c>
      <c r="H57" s="19" t="str">
        <f aca="false">IF(OR(B57="",D57=0),"",COUNTIFS(上位10件データ!$A:$A,$B57,上位10件データ!$F:$F,"&gt;=1000"))</f>
        <v/>
      </c>
      <c r="I57" s="19" t="str">
        <f aca="false">IF(OR(B57="",D57=0),"",COUNTIFS(上位10件データ!$A:$A,$B57,上位10件データ!$F:$F,"&lt;100"))</f>
        <v/>
      </c>
      <c r="J57" s="19" t="str">
        <f aca="false">IF(E57="","",COUNTIF(L57:O57,"○")+IF(P57&gt;=0.5,1,0))</f>
        <v/>
      </c>
      <c r="K57" s="29" t="str">
        <f aca="false">IF(J57="","",IF(J57&gt;=設定!$B$19,"◎ 有力",IF(J57&gt;=設定!$B$20,"○ 候補",IF(J57&gt;=3,"△ 要検討","× 見送り"))))</f>
        <v/>
      </c>
      <c r="L57" s="19" t="str">
        <f aca="false">IF(E57="","",IF(E57&gt;=設定!$B$14,"○","×"))</f>
        <v/>
      </c>
      <c r="M57" s="19" t="str">
        <f aca="false">IF(H57="","",IF(H57&lt;=設定!$B$15,"○","×"))</f>
        <v/>
      </c>
      <c r="N57" s="19" t="str">
        <f aca="false">IF(I57="","",IF(I57&gt;=設定!$B$16,"○","×"))</f>
        <v/>
      </c>
      <c r="O57" s="19" t="str">
        <f aca="false">IF(G57="","",IF(AND(G57&gt;=設定!$B$17,G57&lt;=設定!$B$18),"○","×"))</f>
        <v/>
      </c>
      <c r="P57" s="30" t="str">
        <f aca="false">IF(OR(B57="",D57=0),"",COUNTIFS(上位10件データ!$A:$A,$B57,上位10件データ!$H:$H,"はい")/D57)</f>
        <v/>
      </c>
      <c r="Q57" s="22"/>
    </row>
    <row r="58" customFormat="false" ht="15" hidden="false" customHeight="true" outlineLevel="0" collapsed="false">
      <c r="A58" s="19" t="str">
        <f aca="false">IF(B58="","",ROW()-1)</f>
        <v/>
      </c>
      <c r="B58" s="22"/>
      <c r="C58" s="9"/>
      <c r="D58" s="19" t="str">
        <f aca="false">IF(B58="","",COUNTIFS(上位10件データ!$A:$A,$B58))</f>
        <v/>
      </c>
      <c r="E58" s="28" t="str">
        <f aca="false">IF(OR(B58="",D58=0),"",AVERAGEIFS(上位10件データ!$G:$G,上位10件データ!$A:$A,$B58))</f>
        <v/>
      </c>
      <c r="F58" s="28" t="str">
        <f aca="false">IF(OR(B58="",D58=0),"",SUMIFS(上位10件データ!$G:$G,上位10件データ!$A:$A,$B58))</f>
        <v/>
      </c>
      <c r="G58" s="28" t="str">
        <f aca="false">IF(OR(B58="",D58=0),"",AVERAGEIFS(上位10件データ!$E:$E,上位10件データ!$A:$A,$B58))</f>
        <v/>
      </c>
      <c r="H58" s="19" t="str">
        <f aca="false">IF(OR(B58="",D58=0),"",COUNTIFS(上位10件データ!$A:$A,$B58,上位10件データ!$F:$F,"&gt;=1000"))</f>
        <v/>
      </c>
      <c r="I58" s="19" t="str">
        <f aca="false">IF(OR(B58="",D58=0),"",COUNTIFS(上位10件データ!$A:$A,$B58,上位10件データ!$F:$F,"&lt;100"))</f>
        <v/>
      </c>
      <c r="J58" s="19" t="str">
        <f aca="false">IF(E58="","",COUNTIF(L58:O58,"○")+IF(P58&gt;=0.5,1,0))</f>
        <v/>
      </c>
      <c r="K58" s="29" t="str">
        <f aca="false">IF(J58="","",IF(J58&gt;=設定!$B$19,"◎ 有力",IF(J58&gt;=設定!$B$20,"○ 候補",IF(J58&gt;=3,"△ 要検討","× 見送り"))))</f>
        <v/>
      </c>
      <c r="L58" s="19" t="str">
        <f aca="false">IF(E58="","",IF(E58&gt;=設定!$B$14,"○","×"))</f>
        <v/>
      </c>
      <c r="M58" s="19" t="str">
        <f aca="false">IF(H58="","",IF(H58&lt;=設定!$B$15,"○","×"))</f>
        <v/>
      </c>
      <c r="N58" s="19" t="str">
        <f aca="false">IF(I58="","",IF(I58&gt;=設定!$B$16,"○","×"))</f>
        <v/>
      </c>
      <c r="O58" s="19" t="str">
        <f aca="false">IF(G58="","",IF(AND(G58&gt;=設定!$B$17,G58&lt;=設定!$B$18),"○","×"))</f>
        <v/>
      </c>
      <c r="P58" s="30" t="str">
        <f aca="false">IF(OR(B58="",D58=0),"",COUNTIFS(上位10件データ!$A:$A,$B58,上位10件データ!$H:$H,"はい")/D58)</f>
        <v/>
      </c>
      <c r="Q58" s="22"/>
    </row>
    <row r="59" customFormat="false" ht="15" hidden="false" customHeight="true" outlineLevel="0" collapsed="false">
      <c r="A59" s="19" t="str">
        <f aca="false">IF(B59="","",ROW()-1)</f>
        <v/>
      </c>
      <c r="B59" s="22"/>
      <c r="C59" s="9"/>
      <c r="D59" s="19" t="str">
        <f aca="false">IF(B59="","",COUNTIFS(上位10件データ!$A:$A,$B59))</f>
        <v/>
      </c>
      <c r="E59" s="28" t="str">
        <f aca="false">IF(OR(B59="",D59=0),"",AVERAGEIFS(上位10件データ!$G:$G,上位10件データ!$A:$A,$B59))</f>
        <v/>
      </c>
      <c r="F59" s="28" t="str">
        <f aca="false">IF(OR(B59="",D59=0),"",SUMIFS(上位10件データ!$G:$G,上位10件データ!$A:$A,$B59))</f>
        <v/>
      </c>
      <c r="G59" s="28" t="str">
        <f aca="false">IF(OR(B59="",D59=0),"",AVERAGEIFS(上位10件データ!$E:$E,上位10件データ!$A:$A,$B59))</f>
        <v/>
      </c>
      <c r="H59" s="19" t="str">
        <f aca="false">IF(OR(B59="",D59=0),"",COUNTIFS(上位10件データ!$A:$A,$B59,上位10件データ!$F:$F,"&gt;=1000"))</f>
        <v/>
      </c>
      <c r="I59" s="19" t="str">
        <f aca="false">IF(OR(B59="",D59=0),"",COUNTIFS(上位10件データ!$A:$A,$B59,上位10件データ!$F:$F,"&lt;100"))</f>
        <v/>
      </c>
      <c r="J59" s="19" t="str">
        <f aca="false">IF(E59="","",COUNTIF(L59:O59,"○")+IF(P59&gt;=0.5,1,0))</f>
        <v/>
      </c>
      <c r="K59" s="29" t="str">
        <f aca="false">IF(J59="","",IF(J59&gt;=設定!$B$19,"◎ 有力",IF(J59&gt;=設定!$B$20,"○ 候補",IF(J59&gt;=3,"△ 要検討","× 見送り"))))</f>
        <v/>
      </c>
      <c r="L59" s="19" t="str">
        <f aca="false">IF(E59="","",IF(E59&gt;=設定!$B$14,"○","×"))</f>
        <v/>
      </c>
      <c r="M59" s="19" t="str">
        <f aca="false">IF(H59="","",IF(H59&lt;=設定!$B$15,"○","×"))</f>
        <v/>
      </c>
      <c r="N59" s="19" t="str">
        <f aca="false">IF(I59="","",IF(I59&gt;=設定!$B$16,"○","×"))</f>
        <v/>
      </c>
      <c r="O59" s="19" t="str">
        <f aca="false">IF(G59="","",IF(AND(G59&gt;=設定!$B$17,G59&lt;=設定!$B$18),"○","×"))</f>
        <v/>
      </c>
      <c r="P59" s="30" t="str">
        <f aca="false">IF(OR(B59="",D59=0),"",COUNTIFS(上位10件データ!$A:$A,$B59,上位10件データ!$H:$H,"はい")/D59)</f>
        <v/>
      </c>
      <c r="Q59" s="22"/>
    </row>
    <row r="60" customFormat="false" ht="15" hidden="false" customHeight="true" outlineLevel="0" collapsed="false">
      <c r="A60" s="19" t="str">
        <f aca="false">IF(B60="","",ROW()-1)</f>
        <v/>
      </c>
      <c r="B60" s="22"/>
      <c r="C60" s="9"/>
      <c r="D60" s="19" t="str">
        <f aca="false">IF(B60="","",COUNTIFS(上位10件データ!$A:$A,$B60))</f>
        <v/>
      </c>
      <c r="E60" s="28" t="str">
        <f aca="false">IF(OR(B60="",D60=0),"",AVERAGEIFS(上位10件データ!$G:$G,上位10件データ!$A:$A,$B60))</f>
        <v/>
      </c>
      <c r="F60" s="28" t="str">
        <f aca="false">IF(OR(B60="",D60=0),"",SUMIFS(上位10件データ!$G:$G,上位10件データ!$A:$A,$B60))</f>
        <v/>
      </c>
      <c r="G60" s="28" t="str">
        <f aca="false">IF(OR(B60="",D60=0),"",AVERAGEIFS(上位10件データ!$E:$E,上位10件データ!$A:$A,$B60))</f>
        <v/>
      </c>
      <c r="H60" s="19" t="str">
        <f aca="false">IF(OR(B60="",D60=0),"",COUNTIFS(上位10件データ!$A:$A,$B60,上位10件データ!$F:$F,"&gt;=1000"))</f>
        <v/>
      </c>
      <c r="I60" s="19" t="str">
        <f aca="false">IF(OR(B60="",D60=0),"",COUNTIFS(上位10件データ!$A:$A,$B60,上位10件データ!$F:$F,"&lt;100"))</f>
        <v/>
      </c>
      <c r="J60" s="19" t="str">
        <f aca="false">IF(E60="","",COUNTIF(L60:O60,"○")+IF(P60&gt;=0.5,1,0))</f>
        <v/>
      </c>
      <c r="K60" s="29" t="str">
        <f aca="false">IF(J60="","",IF(J60&gt;=設定!$B$19,"◎ 有力",IF(J60&gt;=設定!$B$20,"○ 候補",IF(J60&gt;=3,"△ 要検討","× 見送り"))))</f>
        <v/>
      </c>
      <c r="L60" s="19" t="str">
        <f aca="false">IF(E60="","",IF(E60&gt;=設定!$B$14,"○","×"))</f>
        <v/>
      </c>
      <c r="M60" s="19" t="str">
        <f aca="false">IF(H60="","",IF(H60&lt;=設定!$B$15,"○","×"))</f>
        <v/>
      </c>
      <c r="N60" s="19" t="str">
        <f aca="false">IF(I60="","",IF(I60&gt;=設定!$B$16,"○","×"))</f>
        <v/>
      </c>
      <c r="O60" s="19" t="str">
        <f aca="false">IF(G60="","",IF(AND(G60&gt;=設定!$B$17,G60&lt;=設定!$B$18),"○","×"))</f>
        <v/>
      </c>
      <c r="P60" s="30" t="str">
        <f aca="false">IF(OR(B60="",D60=0),"",COUNTIFS(上位10件データ!$A:$A,$B60,上位10件データ!$H:$H,"はい")/D60)</f>
        <v/>
      </c>
      <c r="Q60" s="22"/>
    </row>
    <row r="61" customFormat="false" ht="15" hidden="false" customHeight="true" outlineLevel="0" collapsed="false">
      <c r="A61" s="19" t="str">
        <f aca="false">IF(B61="","",ROW()-1)</f>
        <v/>
      </c>
      <c r="B61" s="22"/>
      <c r="C61" s="9"/>
      <c r="D61" s="19" t="str">
        <f aca="false">IF(B61="","",COUNTIFS(上位10件データ!$A:$A,$B61))</f>
        <v/>
      </c>
      <c r="E61" s="28" t="str">
        <f aca="false">IF(OR(B61="",D61=0),"",AVERAGEIFS(上位10件データ!$G:$G,上位10件データ!$A:$A,$B61))</f>
        <v/>
      </c>
      <c r="F61" s="28" t="str">
        <f aca="false">IF(OR(B61="",D61=0),"",SUMIFS(上位10件データ!$G:$G,上位10件データ!$A:$A,$B61))</f>
        <v/>
      </c>
      <c r="G61" s="28" t="str">
        <f aca="false">IF(OR(B61="",D61=0),"",AVERAGEIFS(上位10件データ!$E:$E,上位10件データ!$A:$A,$B61))</f>
        <v/>
      </c>
      <c r="H61" s="19" t="str">
        <f aca="false">IF(OR(B61="",D61=0),"",COUNTIFS(上位10件データ!$A:$A,$B61,上位10件データ!$F:$F,"&gt;=1000"))</f>
        <v/>
      </c>
      <c r="I61" s="19" t="str">
        <f aca="false">IF(OR(B61="",D61=0),"",COUNTIFS(上位10件データ!$A:$A,$B61,上位10件データ!$F:$F,"&lt;100"))</f>
        <v/>
      </c>
      <c r="J61" s="19" t="str">
        <f aca="false">IF(E61="","",COUNTIF(L61:O61,"○")+IF(P61&gt;=0.5,1,0))</f>
        <v/>
      </c>
      <c r="K61" s="29" t="str">
        <f aca="false">IF(J61="","",IF(J61&gt;=設定!$B$19,"◎ 有力",IF(J61&gt;=設定!$B$20,"○ 候補",IF(J61&gt;=3,"△ 要検討","× 見送り"))))</f>
        <v/>
      </c>
      <c r="L61" s="19" t="str">
        <f aca="false">IF(E61="","",IF(E61&gt;=設定!$B$14,"○","×"))</f>
        <v/>
      </c>
      <c r="M61" s="19" t="str">
        <f aca="false">IF(H61="","",IF(H61&lt;=設定!$B$15,"○","×"))</f>
        <v/>
      </c>
      <c r="N61" s="19" t="str">
        <f aca="false">IF(I61="","",IF(I61&gt;=設定!$B$16,"○","×"))</f>
        <v/>
      </c>
      <c r="O61" s="19" t="str">
        <f aca="false">IF(G61="","",IF(AND(G61&gt;=設定!$B$17,G61&lt;=設定!$B$18),"○","×"))</f>
        <v/>
      </c>
      <c r="P61" s="30" t="str">
        <f aca="false">IF(OR(B61="",D61=0),"",COUNTIFS(上位10件データ!$A:$A,$B61,上位10件データ!$H:$H,"はい")/D61)</f>
        <v/>
      </c>
      <c r="Q61" s="22"/>
    </row>
    <row r="62" customFormat="false" ht="15" hidden="false" customHeight="true" outlineLevel="0" collapsed="false">
      <c r="A62" s="19" t="str">
        <f aca="false">IF(B62="","",ROW()-1)</f>
        <v/>
      </c>
      <c r="B62" s="22"/>
      <c r="C62" s="9"/>
      <c r="D62" s="19" t="str">
        <f aca="false">IF(B62="","",COUNTIFS(上位10件データ!$A:$A,$B62))</f>
        <v/>
      </c>
      <c r="E62" s="28" t="str">
        <f aca="false">IF(OR(B62="",D62=0),"",AVERAGEIFS(上位10件データ!$G:$G,上位10件データ!$A:$A,$B62))</f>
        <v/>
      </c>
      <c r="F62" s="28" t="str">
        <f aca="false">IF(OR(B62="",D62=0),"",SUMIFS(上位10件データ!$G:$G,上位10件データ!$A:$A,$B62))</f>
        <v/>
      </c>
      <c r="G62" s="28" t="str">
        <f aca="false">IF(OR(B62="",D62=0),"",AVERAGEIFS(上位10件データ!$E:$E,上位10件データ!$A:$A,$B62))</f>
        <v/>
      </c>
      <c r="H62" s="19" t="str">
        <f aca="false">IF(OR(B62="",D62=0),"",COUNTIFS(上位10件データ!$A:$A,$B62,上位10件データ!$F:$F,"&gt;=1000"))</f>
        <v/>
      </c>
      <c r="I62" s="19" t="str">
        <f aca="false">IF(OR(B62="",D62=0),"",COUNTIFS(上位10件データ!$A:$A,$B62,上位10件データ!$F:$F,"&lt;100"))</f>
        <v/>
      </c>
      <c r="J62" s="19" t="str">
        <f aca="false">IF(E62="","",COUNTIF(L62:O62,"○")+IF(P62&gt;=0.5,1,0))</f>
        <v/>
      </c>
      <c r="K62" s="29" t="str">
        <f aca="false">IF(J62="","",IF(J62&gt;=設定!$B$19,"◎ 有力",IF(J62&gt;=設定!$B$20,"○ 候補",IF(J62&gt;=3,"△ 要検討","× 見送り"))))</f>
        <v/>
      </c>
      <c r="L62" s="19" t="str">
        <f aca="false">IF(E62="","",IF(E62&gt;=設定!$B$14,"○","×"))</f>
        <v/>
      </c>
      <c r="M62" s="19" t="str">
        <f aca="false">IF(H62="","",IF(H62&lt;=設定!$B$15,"○","×"))</f>
        <v/>
      </c>
      <c r="N62" s="19" t="str">
        <f aca="false">IF(I62="","",IF(I62&gt;=設定!$B$16,"○","×"))</f>
        <v/>
      </c>
      <c r="O62" s="19" t="str">
        <f aca="false">IF(G62="","",IF(AND(G62&gt;=設定!$B$17,G62&lt;=設定!$B$18),"○","×"))</f>
        <v/>
      </c>
      <c r="P62" s="30" t="str">
        <f aca="false">IF(OR(B62="",D62=0),"",COUNTIFS(上位10件データ!$A:$A,$B62,上位10件データ!$H:$H,"はい")/D62)</f>
        <v/>
      </c>
      <c r="Q62" s="22"/>
    </row>
    <row r="63" customFormat="false" ht="15" hidden="false" customHeight="true" outlineLevel="0" collapsed="false">
      <c r="A63" s="19" t="str">
        <f aca="false">IF(B63="","",ROW()-1)</f>
        <v/>
      </c>
      <c r="B63" s="22"/>
      <c r="C63" s="9"/>
      <c r="D63" s="19" t="str">
        <f aca="false">IF(B63="","",COUNTIFS(上位10件データ!$A:$A,$B63))</f>
        <v/>
      </c>
      <c r="E63" s="28" t="str">
        <f aca="false">IF(OR(B63="",D63=0),"",AVERAGEIFS(上位10件データ!$G:$G,上位10件データ!$A:$A,$B63))</f>
        <v/>
      </c>
      <c r="F63" s="28" t="str">
        <f aca="false">IF(OR(B63="",D63=0),"",SUMIFS(上位10件データ!$G:$G,上位10件データ!$A:$A,$B63))</f>
        <v/>
      </c>
      <c r="G63" s="28" t="str">
        <f aca="false">IF(OR(B63="",D63=0),"",AVERAGEIFS(上位10件データ!$E:$E,上位10件データ!$A:$A,$B63))</f>
        <v/>
      </c>
      <c r="H63" s="19" t="str">
        <f aca="false">IF(OR(B63="",D63=0),"",COUNTIFS(上位10件データ!$A:$A,$B63,上位10件データ!$F:$F,"&gt;=1000"))</f>
        <v/>
      </c>
      <c r="I63" s="19" t="str">
        <f aca="false">IF(OR(B63="",D63=0),"",COUNTIFS(上位10件データ!$A:$A,$B63,上位10件データ!$F:$F,"&lt;100"))</f>
        <v/>
      </c>
      <c r="J63" s="19" t="str">
        <f aca="false">IF(E63="","",COUNTIF(L63:O63,"○")+IF(P63&gt;=0.5,1,0))</f>
        <v/>
      </c>
      <c r="K63" s="29" t="str">
        <f aca="false">IF(J63="","",IF(J63&gt;=設定!$B$19,"◎ 有力",IF(J63&gt;=設定!$B$20,"○ 候補",IF(J63&gt;=3,"△ 要検討","× 見送り"))))</f>
        <v/>
      </c>
      <c r="L63" s="19" t="str">
        <f aca="false">IF(E63="","",IF(E63&gt;=設定!$B$14,"○","×"))</f>
        <v/>
      </c>
      <c r="M63" s="19" t="str">
        <f aca="false">IF(H63="","",IF(H63&lt;=設定!$B$15,"○","×"))</f>
        <v/>
      </c>
      <c r="N63" s="19" t="str">
        <f aca="false">IF(I63="","",IF(I63&gt;=設定!$B$16,"○","×"))</f>
        <v/>
      </c>
      <c r="O63" s="19" t="str">
        <f aca="false">IF(G63="","",IF(AND(G63&gt;=設定!$B$17,G63&lt;=設定!$B$18),"○","×"))</f>
        <v/>
      </c>
      <c r="P63" s="30" t="str">
        <f aca="false">IF(OR(B63="",D63=0),"",COUNTIFS(上位10件データ!$A:$A,$B63,上位10件データ!$H:$H,"はい")/D63)</f>
        <v/>
      </c>
      <c r="Q63" s="22"/>
    </row>
    <row r="64" customFormat="false" ht="15" hidden="false" customHeight="true" outlineLevel="0" collapsed="false">
      <c r="A64" s="19" t="str">
        <f aca="false">IF(B64="","",ROW()-1)</f>
        <v/>
      </c>
      <c r="B64" s="22"/>
      <c r="C64" s="9"/>
      <c r="D64" s="19" t="str">
        <f aca="false">IF(B64="","",COUNTIFS(上位10件データ!$A:$A,$B64))</f>
        <v/>
      </c>
      <c r="E64" s="28" t="str">
        <f aca="false">IF(OR(B64="",D64=0),"",AVERAGEIFS(上位10件データ!$G:$G,上位10件データ!$A:$A,$B64))</f>
        <v/>
      </c>
      <c r="F64" s="28" t="str">
        <f aca="false">IF(OR(B64="",D64=0),"",SUMIFS(上位10件データ!$G:$G,上位10件データ!$A:$A,$B64))</f>
        <v/>
      </c>
      <c r="G64" s="28" t="str">
        <f aca="false">IF(OR(B64="",D64=0),"",AVERAGEIFS(上位10件データ!$E:$E,上位10件データ!$A:$A,$B64))</f>
        <v/>
      </c>
      <c r="H64" s="19" t="str">
        <f aca="false">IF(OR(B64="",D64=0),"",COUNTIFS(上位10件データ!$A:$A,$B64,上位10件データ!$F:$F,"&gt;=1000"))</f>
        <v/>
      </c>
      <c r="I64" s="19" t="str">
        <f aca="false">IF(OR(B64="",D64=0),"",COUNTIFS(上位10件データ!$A:$A,$B64,上位10件データ!$F:$F,"&lt;100"))</f>
        <v/>
      </c>
      <c r="J64" s="19" t="str">
        <f aca="false">IF(E64="","",COUNTIF(L64:O64,"○")+IF(P64&gt;=0.5,1,0))</f>
        <v/>
      </c>
      <c r="K64" s="29" t="str">
        <f aca="false">IF(J64="","",IF(J64&gt;=設定!$B$19,"◎ 有力",IF(J64&gt;=設定!$B$20,"○ 候補",IF(J64&gt;=3,"△ 要検討","× 見送り"))))</f>
        <v/>
      </c>
      <c r="L64" s="19" t="str">
        <f aca="false">IF(E64="","",IF(E64&gt;=設定!$B$14,"○","×"))</f>
        <v/>
      </c>
      <c r="M64" s="19" t="str">
        <f aca="false">IF(H64="","",IF(H64&lt;=設定!$B$15,"○","×"))</f>
        <v/>
      </c>
      <c r="N64" s="19" t="str">
        <f aca="false">IF(I64="","",IF(I64&gt;=設定!$B$16,"○","×"))</f>
        <v/>
      </c>
      <c r="O64" s="19" t="str">
        <f aca="false">IF(G64="","",IF(AND(G64&gt;=設定!$B$17,G64&lt;=設定!$B$18),"○","×"))</f>
        <v/>
      </c>
      <c r="P64" s="30" t="str">
        <f aca="false">IF(OR(B64="",D64=0),"",COUNTIFS(上位10件データ!$A:$A,$B64,上位10件データ!$H:$H,"はい")/D64)</f>
        <v/>
      </c>
      <c r="Q64" s="22"/>
    </row>
    <row r="65" customFormat="false" ht="15" hidden="false" customHeight="true" outlineLevel="0" collapsed="false">
      <c r="A65" s="19" t="str">
        <f aca="false">IF(B65="","",ROW()-1)</f>
        <v/>
      </c>
      <c r="B65" s="22"/>
      <c r="C65" s="9"/>
      <c r="D65" s="19" t="str">
        <f aca="false">IF(B65="","",COUNTIFS(上位10件データ!$A:$A,$B65))</f>
        <v/>
      </c>
      <c r="E65" s="28" t="str">
        <f aca="false">IF(OR(B65="",D65=0),"",AVERAGEIFS(上位10件データ!$G:$G,上位10件データ!$A:$A,$B65))</f>
        <v/>
      </c>
      <c r="F65" s="28" t="str">
        <f aca="false">IF(OR(B65="",D65=0),"",SUMIFS(上位10件データ!$G:$G,上位10件データ!$A:$A,$B65))</f>
        <v/>
      </c>
      <c r="G65" s="28" t="str">
        <f aca="false">IF(OR(B65="",D65=0),"",AVERAGEIFS(上位10件データ!$E:$E,上位10件データ!$A:$A,$B65))</f>
        <v/>
      </c>
      <c r="H65" s="19" t="str">
        <f aca="false">IF(OR(B65="",D65=0),"",COUNTIFS(上位10件データ!$A:$A,$B65,上位10件データ!$F:$F,"&gt;=1000"))</f>
        <v/>
      </c>
      <c r="I65" s="19" t="str">
        <f aca="false">IF(OR(B65="",D65=0),"",COUNTIFS(上位10件データ!$A:$A,$B65,上位10件データ!$F:$F,"&lt;100"))</f>
        <v/>
      </c>
      <c r="J65" s="19" t="str">
        <f aca="false">IF(E65="","",COUNTIF(L65:O65,"○")+IF(P65&gt;=0.5,1,0))</f>
        <v/>
      </c>
      <c r="K65" s="29" t="str">
        <f aca="false">IF(J65="","",IF(J65&gt;=設定!$B$19,"◎ 有力",IF(J65&gt;=設定!$B$20,"○ 候補",IF(J65&gt;=3,"△ 要検討","× 見送り"))))</f>
        <v/>
      </c>
      <c r="L65" s="19" t="str">
        <f aca="false">IF(E65="","",IF(E65&gt;=設定!$B$14,"○","×"))</f>
        <v/>
      </c>
      <c r="M65" s="19" t="str">
        <f aca="false">IF(H65="","",IF(H65&lt;=設定!$B$15,"○","×"))</f>
        <v/>
      </c>
      <c r="N65" s="19" t="str">
        <f aca="false">IF(I65="","",IF(I65&gt;=設定!$B$16,"○","×"))</f>
        <v/>
      </c>
      <c r="O65" s="19" t="str">
        <f aca="false">IF(G65="","",IF(AND(G65&gt;=設定!$B$17,G65&lt;=設定!$B$18),"○","×"))</f>
        <v/>
      </c>
      <c r="P65" s="30" t="str">
        <f aca="false">IF(OR(B65="",D65=0),"",COUNTIFS(上位10件データ!$A:$A,$B65,上位10件データ!$H:$H,"はい")/D65)</f>
        <v/>
      </c>
      <c r="Q65" s="22"/>
    </row>
    <row r="66" customFormat="false" ht="15" hidden="false" customHeight="true" outlineLevel="0" collapsed="false">
      <c r="A66" s="19" t="str">
        <f aca="false">IF(B66="","",ROW()-1)</f>
        <v/>
      </c>
      <c r="B66" s="22"/>
      <c r="C66" s="9"/>
      <c r="D66" s="19" t="str">
        <f aca="false">IF(B66="","",COUNTIFS(上位10件データ!$A:$A,$B66))</f>
        <v/>
      </c>
      <c r="E66" s="28" t="str">
        <f aca="false">IF(OR(B66="",D66=0),"",AVERAGEIFS(上位10件データ!$G:$G,上位10件データ!$A:$A,$B66))</f>
        <v/>
      </c>
      <c r="F66" s="28" t="str">
        <f aca="false">IF(OR(B66="",D66=0),"",SUMIFS(上位10件データ!$G:$G,上位10件データ!$A:$A,$B66))</f>
        <v/>
      </c>
      <c r="G66" s="28" t="str">
        <f aca="false">IF(OR(B66="",D66=0),"",AVERAGEIFS(上位10件データ!$E:$E,上位10件データ!$A:$A,$B66))</f>
        <v/>
      </c>
      <c r="H66" s="19" t="str">
        <f aca="false">IF(OR(B66="",D66=0),"",COUNTIFS(上位10件データ!$A:$A,$B66,上位10件データ!$F:$F,"&gt;=1000"))</f>
        <v/>
      </c>
      <c r="I66" s="19" t="str">
        <f aca="false">IF(OR(B66="",D66=0),"",COUNTIFS(上位10件データ!$A:$A,$B66,上位10件データ!$F:$F,"&lt;100"))</f>
        <v/>
      </c>
      <c r="J66" s="19" t="str">
        <f aca="false">IF(E66="","",COUNTIF(L66:O66,"○")+IF(P66&gt;=0.5,1,0))</f>
        <v/>
      </c>
      <c r="K66" s="29" t="str">
        <f aca="false">IF(J66="","",IF(J66&gt;=設定!$B$19,"◎ 有力",IF(J66&gt;=設定!$B$20,"○ 候補",IF(J66&gt;=3,"△ 要検討","× 見送り"))))</f>
        <v/>
      </c>
      <c r="L66" s="19" t="str">
        <f aca="false">IF(E66="","",IF(E66&gt;=設定!$B$14,"○","×"))</f>
        <v/>
      </c>
      <c r="M66" s="19" t="str">
        <f aca="false">IF(H66="","",IF(H66&lt;=設定!$B$15,"○","×"))</f>
        <v/>
      </c>
      <c r="N66" s="19" t="str">
        <f aca="false">IF(I66="","",IF(I66&gt;=設定!$B$16,"○","×"))</f>
        <v/>
      </c>
      <c r="O66" s="19" t="str">
        <f aca="false">IF(G66="","",IF(AND(G66&gt;=設定!$B$17,G66&lt;=設定!$B$18),"○","×"))</f>
        <v/>
      </c>
      <c r="P66" s="30" t="str">
        <f aca="false">IF(OR(B66="",D66=0),"",COUNTIFS(上位10件データ!$A:$A,$B66,上位10件データ!$H:$H,"はい")/D66)</f>
        <v/>
      </c>
      <c r="Q66" s="22"/>
    </row>
    <row r="67" customFormat="false" ht="15" hidden="false" customHeight="true" outlineLevel="0" collapsed="false">
      <c r="A67" s="19" t="str">
        <f aca="false">IF(B67="","",ROW()-1)</f>
        <v/>
      </c>
      <c r="B67" s="22"/>
      <c r="C67" s="9"/>
      <c r="D67" s="19" t="str">
        <f aca="false">IF(B67="","",COUNTIFS(上位10件データ!$A:$A,$B67))</f>
        <v/>
      </c>
      <c r="E67" s="28" t="str">
        <f aca="false">IF(OR(B67="",D67=0),"",AVERAGEIFS(上位10件データ!$G:$G,上位10件データ!$A:$A,$B67))</f>
        <v/>
      </c>
      <c r="F67" s="28" t="str">
        <f aca="false">IF(OR(B67="",D67=0),"",SUMIFS(上位10件データ!$G:$G,上位10件データ!$A:$A,$B67))</f>
        <v/>
      </c>
      <c r="G67" s="28" t="str">
        <f aca="false">IF(OR(B67="",D67=0),"",AVERAGEIFS(上位10件データ!$E:$E,上位10件データ!$A:$A,$B67))</f>
        <v/>
      </c>
      <c r="H67" s="19" t="str">
        <f aca="false">IF(OR(B67="",D67=0),"",COUNTIFS(上位10件データ!$A:$A,$B67,上位10件データ!$F:$F,"&gt;=1000"))</f>
        <v/>
      </c>
      <c r="I67" s="19" t="str">
        <f aca="false">IF(OR(B67="",D67=0),"",COUNTIFS(上位10件データ!$A:$A,$B67,上位10件データ!$F:$F,"&lt;100"))</f>
        <v/>
      </c>
      <c r="J67" s="19" t="str">
        <f aca="false">IF(E67="","",COUNTIF(L67:O67,"○")+IF(P67&gt;=0.5,1,0))</f>
        <v/>
      </c>
      <c r="K67" s="29" t="str">
        <f aca="false">IF(J67="","",IF(J67&gt;=設定!$B$19,"◎ 有力",IF(J67&gt;=設定!$B$20,"○ 候補",IF(J67&gt;=3,"△ 要検討","× 見送り"))))</f>
        <v/>
      </c>
      <c r="L67" s="19" t="str">
        <f aca="false">IF(E67="","",IF(E67&gt;=設定!$B$14,"○","×"))</f>
        <v/>
      </c>
      <c r="M67" s="19" t="str">
        <f aca="false">IF(H67="","",IF(H67&lt;=設定!$B$15,"○","×"))</f>
        <v/>
      </c>
      <c r="N67" s="19" t="str">
        <f aca="false">IF(I67="","",IF(I67&gt;=設定!$B$16,"○","×"))</f>
        <v/>
      </c>
      <c r="O67" s="19" t="str">
        <f aca="false">IF(G67="","",IF(AND(G67&gt;=設定!$B$17,G67&lt;=設定!$B$18),"○","×"))</f>
        <v/>
      </c>
      <c r="P67" s="30" t="str">
        <f aca="false">IF(OR(B67="",D67=0),"",COUNTIFS(上位10件データ!$A:$A,$B67,上位10件データ!$H:$H,"はい")/D67)</f>
        <v/>
      </c>
      <c r="Q67" s="22"/>
    </row>
    <row r="68" customFormat="false" ht="15" hidden="false" customHeight="true" outlineLevel="0" collapsed="false">
      <c r="A68" s="19" t="str">
        <f aca="false">IF(B68="","",ROW()-1)</f>
        <v/>
      </c>
      <c r="B68" s="22"/>
      <c r="C68" s="9"/>
      <c r="D68" s="19" t="str">
        <f aca="false">IF(B68="","",COUNTIFS(上位10件データ!$A:$A,$B68))</f>
        <v/>
      </c>
      <c r="E68" s="28" t="str">
        <f aca="false">IF(OR(B68="",D68=0),"",AVERAGEIFS(上位10件データ!$G:$G,上位10件データ!$A:$A,$B68))</f>
        <v/>
      </c>
      <c r="F68" s="28" t="str">
        <f aca="false">IF(OR(B68="",D68=0),"",SUMIFS(上位10件データ!$G:$G,上位10件データ!$A:$A,$B68))</f>
        <v/>
      </c>
      <c r="G68" s="28" t="str">
        <f aca="false">IF(OR(B68="",D68=0),"",AVERAGEIFS(上位10件データ!$E:$E,上位10件データ!$A:$A,$B68))</f>
        <v/>
      </c>
      <c r="H68" s="19" t="str">
        <f aca="false">IF(OR(B68="",D68=0),"",COUNTIFS(上位10件データ!$A:$A,$B68,上位10件データ!$F:$F,"&gt;=1000"))</f>
        <v/>
      </c>
      <c r="I68" s="19" t="str">
        <f aca="false">IF(OR(B68="",D68=0),"",COUNTIFS(上位10件データ!$A:$A,$B68,上位10件データ!$F:$F,"&lt;100"))</f>
        <v/>
      </c>
      <c r="J68" s="19" t="str">
        <f aca="false">IF(E68="","",COUNTIF(L68:O68,"○")+IF(P68&gt;=0.5,1,0))</f>
        <v/>
      </c>
      <c r="K68" s="29" t="str">
        <f aca="false">IF(J68="","",IF(J68&gt;=設定!$B$19,"◎ 有力",IF(J68&gt;=設定!$B$20,"○ 候補",IF(J68&gt;=3,"△ 要検討","× 見送り"))))</f>
        <v/>
      </c>
      <c r="L68" s="19" t="str">
        <f aca="false">IF(E68="","",IF(E68&gt;=設定!$B$14,"○","×"))</f>
        <v/>
      </c>
      <c r="M68" s="19" t="str">
        <f aca="false">IF(H68="","",IF(H68&lt;=設定!$B$15,"○","×"))</f>
        <v/>
      </c>
      <c r="N68" s="19" t="str">
        <f aca="false">IF(I68="","",IF(I68&gt;=設定!$B$16,"○","×"))</f>
        <v/>
      </c>
      <c r="O68" s="19" t="str">
        <f aca="false">IF(G68="","",IF(AND(G68&gt;=設定!$B$17,G68&lt;=設定!$B$18),"○","×"))</f>
        <v/>
      </c>
      <c r="P68" s="30" t="str">
        <f aca="false">IF(OR(B68="",D68=0),"",COUNTIFS(上位10件データ!$A:$A,$B68,上位10件データ!$H:$H,"はい")/D68)</f>
        <v/>
      </c>
      <c r="Q68" s="22"/>
    </row>
    <row r="69" customFormat="false" ht="15" hidden="false" customHeight="true" outlineLevel="0" collapsed="false">
      <c r="A69" s="19" t="str">
        <f aca="false">IF(B69="","",ROW()-1)</f>
        <v/>
      </c>
      <c r="B69" s="22"/>
      <c r="C69" s="9"/>
      <c r="D69" s="19" t="str">
        <f aca="false">IF(B69="","",COUNTIFS(上位10件データ!$A:$A,$B69))</f>
        <v/>
      </c>
      <c r="E69" s="28" t="str">
        <f aca="false">IF(OR(B69="",D69=0),"",AVERAGEIFS(上位10件データ!$G:$G,上位10件データ!$A:$A,$B69))</f>
        <v/>
      </c>
      <c r="F69" s="28" t="str">
        <f aca="false">IF(OR(B69="",D69=0),"",SUMIFS(上位10件データ!$G:$G,上位10件データ!$A:$A,$B69))</f>
        <v/>
      </c>
      <c r="G69" s="28" t="str">
        <f aca="false">IF(OR(B69="",D69=0),"",AVERAGEIFS(上位10件データ!$E:$E,上位10件データ!$A:$A,$B69))</f>
        <v/>
      </c>
      <c r="H69" s="19" t="str">
        <f aca="false">IF(OR(B69="",D69=0),"",COUNTIFS(上位10件データ!$A:$A,$B69,上位10件データ!$F:$F,"&gt;=1000"))</f>
        <v/>
      </c>
      <c r="I69" s="19" t="str">
        <f aca="false">IF(OR(B69="",D69=0),"",COUNTIFS(上位10件データ!$A:$A,$B69,上位10件データ!$F:$F,"&lt;100"))</f>
        <v/>
      </c>
      <c r="J69" s="19" t="str">
        <f aca="false">IF(E69="","",COUNTIF(L69:O69,"○")+IF(P69&gt;=0.5,1,0))</f>
        <v/>
      </c>
      <c r="K69" s="29" t="str">
        <f aca="false">IF(J69="","",IF(J69&gt;=設定!$B$19,"◎ 有力",IF(J69&gt;=設定!$B$20,"○ 候補",IF(J69&gt;=3,"△ 要検討","× 見送り"))))</f>
        <v/>
      </c>
      <c r="L69" s="19" t="str">
        <f aca="false">IF(E69="","",IF(E69&gt;=設定!$B$14,"○","×"))</f>
        <v/>
      </c>
      <c r="M69" s="19" t="str">
        <f aca="false">IF(H69="","",IF(H69&lt;=設定!$B$15,"○","×"))</f>
        <v/>
      </c>
      <c r="N69" s="19" t="str">
        <f aca="false">IF(I69="","",IF(I69&gt;=設定!$B$16,"○","×"))</f>
        <v/>
      </c>
      <c r="O69" s="19" t="str">
        <f aca="false">IF(G69="","",IF(AND(G69&gt;=設定!$B$17,G69&lt;=設定!$B$18),"○","×"))</f>
        <v/>
      </c>
      <c r="P69" s="30" t="str">
        <f aca="false">IF(OR(B69="",D69=0),"",COUNTIFS(上位10件データ!$A:$A,$B69,上位10件データ!$H:$H,"はい")/D69)</f>
        <v/>
      </c>
      <c r="Q69" s="22"/>
    </row>
    <row r="70" customFormat="false" ht="15" hidden="false" customHeight="true" outlineLevel="0" collapsed="false">
      <c r="A70" s="19" t="str">
        <f aca="false">IF(B70="","",ROW()-1)</f>
        <v/>
      </c>
      <c r="B70" s="22"/>
      <c r="C70" s="9"/>
      <c r="D70" s="19" t="str">
        <f aca="false">IF(B70="","",COUNTIFS(上位10件データ!$A:$A,$B70))</f>
        <v/>
      </c>
      <c r="E70" s="28" t="str">
        <f aca="false">IF(OR(B70="",D70=0),"",AVERAGEIFS(上位10件データ!$G:$G,上位10件データ!$A:$A,$B70))</f>
        <v/>
      </c>
      <c r="F70" s="28" t="str">
        <f aca="false">IF(OR(B70="",D70=0),"",SUMIFS(上位10件データ!$G:$G,上位10件データ!$A:$A,$B70))</f>
        <v/>
      </c>
      <c r="G70" s="28" t="str">
        <f aca="false">IF(OR(B70="",D70=0),"",AVERAGEIFS(上位10件データ!$E:$E,上位10件データ!$A:$A,$B70))</f>
        <v/>
      </c>
      <c r="H70" s="19" t="str">
        <f aca="false">IF(OR(B70="",D70=0),"",COUNTIFS(上位10件データ!$A:$A,$B70,上位10件データ!$F:$F,"&gt;=1000"))</f>
        <v/>
      </c>
      <c r="I70" s="19" t="str">
        <f aca="false">IF(OR(B70="",D70=0),"",COUNTIFS(上位10件データ!$A:$A,$B70,上位10件データ!$F:$F,"&lt;100"))</f>
        <v/>
      </c>
      <c r="J70" s="19" t="str">
        <f aca="false">IF(E70="","",COUNTIF(L70:O70,"○")+IF(P70&gt;=0.5,1,0))</f>
        <v/>
      </c>
      <c r="K70" s="29" t="str">
        <f aca="false">IF(J70="","",IF(J70&gt;=設定!$B$19,"◎ 有力",IF(J70&gt;=設定!$B$20,"○ 候補",IF(J70&gt;=3,"△ 要検討","× 見送り"))))</f>
        <v/>
      </c>
      <c r="L70" s="19" t="str">
        <f aca="false">IF(E70="","",IF(E70&gt;=設定!$B$14,"○","×"))</f>
        <v/>
      </c>
      <c r="M70" s="19" t="str">
        <f aca="false">IF(H70="","",IF(H70&lt;=設定!$B$15,"○","×"))</f>
        <v/>
      </c>
      <c r="N70" s="19" t="str">
        <f aca="false">IF(I70="","",IF(I70&gt;=設定!$B$16,"○","×"))</f>
        <v/>
      </c>
      <c r="O70" s="19" t="str">
        <f aca="false">IF(G70="","",IF(AND(G70&gt;=設定!$B$17,G70&lt;=設定!$B$18),"○","×"))</f>
        <v/>
      </c>
      <c r="P70" s="30" t="str">
        <f aca="false">IF(OR(B70="",D70=0),"",COUNTIFS(上位10件データ!$A:$A,$B70,上位10件データ!$H:$H,"はい")/D70)</f>
        <v/>
      </c>
      <c r="Q70" s="22"/>
    </row>
    <row r="71" customFormat="false" ht="15" hidden="false" customHeight="true" outlineLevel="0" collapsed="false">
      <c r="A71" s="19" t="str">
        <f aca="false">IF(B71="","",ROW()-1)</f>
        <v/>
      </c>
      <c r="B71" s="22"/>
      <c r="C71" s="9"/>
      <c r="D71" s="19" t="str">
        <f aca="false">IF(B71="","",COUNTIFS(上位10件データ!$A:$A,$B71))</f>
        <v/>
      </c>
      <c r="E71" s="28" t="str">
        <f aca="false">IF(OR(B71="",D71=0),"",AVERAGEIFS(上位10件データ!$G:$G,上位10件データ!$A:$A,$B71))</f>
        <v/>
      </c>
      <c r="F71" s="28" t="str">
        <f aca="false">IF(OR(B71="",D71=0),"",SUMIFS(上位10件データ!$G:$G,上位10件データ!$A:$A,$B71))</f>
        <v/>
      </c>
      <c r="G71" s="28" t="str">
        <f aca="false">IF(OR(B71="",D71=0),"",AVERAGEIFS(上位10件データ!$E:$E,上位10件データ!$A:$A,$B71))</f>
        <v/>
      </c>
      <c r="H71" s="19" t="str">
        <f aca="false">IF(OR(B71="",D71=0),"",COUNTIFS(上位10件データ!$A:$A,$B71,上位10件データ!$F:$F,"&gt;=1000"))</f>
        <v/>
      </c>
      <c r="I71" s="19" t="str">
        <f aca="false">IF(OR(B71="",D71=0),"",COUNTIFS(上位10件データ!$A:$A,$B71,上位10件データ!$F:$F,"&lt;100"))</f>
        <v/>
      </c>
      <c r="J71" s="19" t="str">
        <f aca="false">IF(E71="","",COUNTIF(L71:O71,"○")+IF(P71&gt;=0.5,1,0))</f>
        <v/>
      </c>
      <c r="K71" s="29" t="str">
        <f aca="false">IF(J71="","",IF(J71&gt;=設定!$B$19,"◎ 有力",IF(J71&gt;=設定!$B$20,"○ 候補",IF(J71&gt;=3,"△ 要検討","× 見送り"))))</f>
        <v/>
      </c>
      <c r="L71" s="19" t="str">
        <f aca="false">IF(E71="","",IF(E71&gt;=設定!$B$14,"○","×"))</f>
        <v/>
      </c>
      <c r="M71" s="19" t="str">
        <f aca="false">IF(H71="","",IF(H71&lt;=設定!$B$15,"○","×"))</f>
        <v/>
      </c>
      <c r="N71" s="19" t="str">
        <f aca="false">IF(I71="","",IF(I71&gt;=設定!$B$16,"○","×"))</f>
        <v/>
      </c>
      <c r="O71" s="19" t="str">
        <f aca="false">IF(G71="","",IF(AND(G71&gt;=設定!$B$17,G71&lt;=設定!$B$18),"○","×"))</f>
        <v/>
      </c>
      <c r="P71" s="30" t="str">
        <f aca="false">IF(OR(B71="",D71=0),"",COUNTIFS(上位10件データ!$A:$A,$B71,上位10件データ!$H:$H,"はい")/D71)</f>
        <v/>
      </c>
      <c r="Q71" s="22"/>
    </row>
    <row r="72" customFormat="false" ht="15" hidden="false" customHeight="true" outlineLevel="0" collapsed="false">
      <c r="A72" s="19" t="str">
        <f aca="false">IF(B72="","",ROW()-1)</f>
        <v/>
      </c>
      <c r="B72" s="22"/>
      <c r="C72" s="9"/>
      <c r="D72" s="19" t="str">
        <f aca="false">IF(B72="","",COUNTIFS(上位10件データ!$A:$A,$B72))</f>
        <v/>
      </c>
      <c r="E72" s="28" t="str">
        <f aca="false">IF(OR(B72="",D72=0),"",AVERAGEIFS(上位10件データ!$G:$G,上位10件データ!$A:$A,$B72))</f>
        <v/>
      </c>
      <c r="F72" s="28" t="str">
        <f aca="false">IF(OR(B72="",D72=0),"",SUMIFS(上位10件データ!$G:$G,上位10件データ!$A:$A,$B72))</f>
        <v/>
      </c>
      <c r="G72" s="28" t="str">
        <f aca="false">IF(OR(B72="",D72=0),"",AVERAGEIFS(上位10件データ!$E:$E,上位10件データ!$A:$A,$B72))</f>
        <v/>
      </c>
      <c r="H72" s="19" t="str">
        <f aca="false">IF(OR(B72="",D72=0),"",COUNTIFS(上位10件データ!$A:$A,$B72,上位10件データ!$F:$F,"&gt;=1000"))</f>
        <v/>
      </c>
      <c r="I72" s="19" t="str">
        <f aca="false">IF(OR(B72="",D72=0),"",COUNTIFS(上位10件データ!$A:$A,$B72,上位10件データ!$F:$F,"&lt;100"))</f>
        <v/>
      </c>
      <c r="J72" s="19" t="str">
        <f aca="false">IF(E72="","",COUNTIF(L72:O72,"○")+IF(P72&gt;=0.5,1,0))</f>
        <v/>
      </c>
      <c r="K72" s="29" t="str">
        <f aca="false">IF(J72="","",IF(J72&gt;=設定!$B$19,"◎ 有力",IF(J72&gt;=設定!$B$20,"○ 候補",IF(J72&gt;=3,"△ 要検討","× 見送り"))))</f>
        <v/>
      </c>
      <c r="L72" s="19" t="str">
        <f aca="false">IF(E72="","",IF(E72&gt;=設定!$B$14,"○","×"))</f>
        <v/>
      </c>
      <c r="M72" s="19" t="str">
        <f aca="false">IF(H72="","",IF(H72&lt;=設定!$B$15,"○","×"))</f>
        <v/>
      </c>
      <c r="N72" s="19" t="str">
        <f aca="false">IF(I72="","",IF(I72&gt;=設定!$B$16,"○","×"))</f>
        <v/>
      </c>
      <c r="O72" s="19" t="str">
        <f aca="false">IF(G72="","",IF(AND(G72&gt;=設定!$B$17,G72&lt;=設定!$B$18),"○","×"))</f>
        <v/>
      </c>
      <c r="P72" s="30" t="str">
        <f aca="false">IF(OR(B72="",D72=0),"",COUNTIFS(上位10件データ!$A:$A,$B72,上位10件データ!$H:$H,"はい")/D72)</f>
        <v/>
      </c>
      <c r="Q72" s="22"/>
    </row>
    <row r="73" customFormat="false" ht="15" hidden="false" customHeight="true" outlineLevel="0" collapsed="false">
      <c r="A73" s="19" t="str">
        <f aca="false">IF(B73="","",ROW()-1)</f>
        <v/>
      </c>
      <c r="B73" s="22"/>
      <c r="C73" s="9"/>
      <c r="D73" s="19" t="str">
        <f aca="false">IF(B73="","",COUNTIFS(上位10件データ!$A:$A,$B73))</f>
        <v/>
      </c>
      <c r="E73" s="28" t="str">
        <f aca="false">IF(OR(B73="",D73=0),"",AVERAGEIFS(上位10件データ!$G:$G,上位10件データ!$A:$A,$B73))</f>
        <v/>
      </c>
      <c r="F73" s="28" t="str">
        <f aca="false">IF(OR(B73="",D73=0),"",SUMIFS(上位10件データ!$G:$G,上位10件データ!$A:$A,$B73))</f>
        <v/>
      </c>
      <c r="G73" s="28" t="str">
        <f aca="false">IF(OR(B73="",D73=0),"",AVERAGEIFS(上位10件データ!$E:$E,上位10件データ!$A:$A,$B73))</f>
        <v/>
      </c>
      <c r="H73" s="19" t="str">
        <f aca="false">IF(OR(B73="",D73=0),"",COUNTIFS(上位10件データ!$A:$A,$B73,上位10件データ!$F:$F,"&gt;=1000"))</f>
        <v/>
      </c>
      <c r="I73" s="19" t="str">
        <f aca="false">IF(OR(B73="",D73=0),"",COUNTIFS(上位10件データ!$A:$A,$B73,上位10件データ!$F:$F,"&lt;100"))</f>
        <v/>
      </c>
      <c r="J73" s="19" t="str">
        <f aca="false">IF(E73="","",COUNTIF(L73:O73,"○")+IF(P73&gt;=0.5,1,0))</f>
        <v/>
      </c>
      <c r="K73" s="29" t="str">
        <f aca="false">IF(J73="","",IF(J73&gt;=設定!$B$19,"◎ 有力",IF(J73&gt;=設定!$B$20,"○ 候補",IF(J73&gt;=3,"△ 要検討","× 見送り"))))</f>
        <v/>
      </c>
      <c r="L73" s="19" t="str">
        <f aca="false">IF(E73="","",IF(E73&gt;=設定!$B$14,"○","×"))</f>
        <v/>
      </c>
      <c r="M73" s="19" t="str">
        <f aca="false">IF(H73="","",IF(H73&lt;=設定!$B$15,"○","×"))</f>
        <v/>
      </c>
      <c r="N73" s="19" t="str">
        <f aca="false">IF(I73="","",IF(I73&gt;=設定!$B$16,"○","×"))</f>
        <v/>
      </c>
      <c r="O73" s="19" t="str">
        <f aca="false">IF(G73="","",IF(AND(G73&gt;=設定!$B$17,G73&lt;=設定!$B$18),"○","×"))</f>
        <v/>
      </c>
      <c r="P73" s="30" t="str">
        <f aca="false">IF(OR(B73="",D73=0),"",COUNTIFS(上位10件データ!$A:$A,$B73,上位10件データ!$H:$H,"はい")/D73)</f>
        <v/>
      </c>
      <c r="Q73" s="22"/>
    </row>
    <row r="74" customFormat="false" ht="15" hidden="false" customHeight="true" outlineLevel="0" collapsed="false">
      <c r="A74" s="19" t="str">
        <f aca="false">IF(B74="","",ROW()-1)</f>
        <v/>
      </c>
      <c r="B74" s="22"/>
      <c r="C74" s="9"/>
      <c r="D74" s="19" t="str">
        <f aca="false">IF(B74="","",COUNTIFS(上位10件データ!$A:$A,$B74))</f>
        <v/>
      </c>
      <c r="E74" s="28" t="str">
        <f aca="false">IF(OR(B74="",D74=0),"",AVERAGEIFS(上位10件データ!$G:$G,上位10件データ!$A:$A,$B74))</f>
        <v/>
      </c>
      <c r="F74" s="28" t="str">
        <f aca="false">IF(OR(B74="",D74=0),"",SUMIFS(上位10件データ!$G:$G,上位10件データ!$A:$A,$B74))</f>
        <v/>
      </c>
      <c r="G74" s="28" t="str">
        <f aca="false">IF(OR(B74="",D74=0),"",AVERAGEIFS(上位10件データ!$E:$E,上位10件データ!$A:$A,$B74))</f>
        <v/>
      </c>
      <c r="H74" s="19" t="str">
        <f aca="false">IF(OR(B74="",D74=0),"",COUNTIFS(上位10件データ!$A:$A,$B74,上位10件データ!$F:$F,"&gt;=1000"))</f>
        <v/>
      </c>
      <c r="I74" s="19" t="str">
        <f aca="false">IF(OR(B74="",D74=0),"",COUNTIFS(上位10件データ!$A:$A,$B74,上位10件データ!$F:$F,"&lt;100"))</f>
        <v/>
      </c>
      <c r="J74" s="19" t="str">
        <f aca="false">IF(E74="","",COUNTIF(L74:O74,"○")+IF(P74&gt;=0.5,1,0))</f>
        <v/>
      </c>
      <c r="K74" s="29" t="str">
        <f aca="false">IF(J74="","",IF(J74&gt;=設定!$B$19,"◎ 有力",IF(J74&gt;=設定!$B$20,"○ 候補",IF(J74&gt;=3,"△ 要検討","× 見送り"))))</f>
        <v/>
      </c>
      <c r="L74" s="19" t="str">
        <f aca="false">IF(E74="","",IF(E74&gt;=設定!$B$14,"○","×"))</f>
        <v/>
      </c>
      <c r="M74" s="19" t="str">
        <f aca="false">IF(H74="","",IF(H74&lt;=設定!$B$15,"○","×"))</f>
        <v/>
      </c>
      <c r="N74" s="19" t="str">
        <f aca="false">IF(I74="","",IF(I74&gt;=設定!$B$16,"○","×"))</f>
        <v/>
      </c>
      <c r="O74" s="19" t="str">
        <f aca="false">IF(G74="","",IF(AND(G74&gt;=設定!$B$17,G74&lt;=設定!$B$18),"○","×"))</f>
        <v/>
      </c>
      <c r="P74" s="30" t="str">
        <f aca="false">IF(OR(B74="",D74=0),"",COUNTIFS(上位10件データ!$A:$A,$B74,上位10件データ!$H:$H,"はい")/D74)</f>
        <v/>
      </c>
      <c r="Q74" s="22"/>
    </row>
    <row r="75" customFormat="false" ht="15" hidden="false" customHeight="true" outlineLevel="0" collapsed="false">
      <c r="A75" s="19" t="str">
        <f aca="false">IF(B75="","",ROW()-1)</f>
        <v/>
      </c>
      <c r="B75" s="22"/>
      <c r="C75" s="9"/>
      <c r="D75" s="19" t="str">
        <f aca="false">IF(B75="","",COUNTIFS(上位10件データ!$A:$A,$B75))</f>
        <v/>
      </c>
      <c r="E75" s="28" t="str">
        <f aca="false">IF(OR(B75="",D75=0),"",AVERAGEIFS(上位10件データ!$G:$G,上位10件データ!$A:$A,$B75))</f>
        <v/>
      </c>
      <c r="F75" s="28" t="str">
        <f aca="false">IF(OR(B75="",D75=0),"",SUMIFS(上位10件データ!$G:$G,上位10件データ!$A:$A,$B75))</f>
        <v/>
      </c>
      <c r="G75" s="28" t="str">
        <f aca="false">IF(OR(B75="",D75=0),"",AVERAGEIFS(上位10件データ!$E:$E,上位10件データ!$A:$A,$B75))</f>
        <v/>
      </c>
      <c r="H75" s="19" t="str">
        <f aca="false">IF(OR(B75="",D75=0),"",COUNTIFS(上位10件データ!$A:$A,$B75,上位10件データ!$F:$F,"&gt;=1000"))</f>
        <v/>
      </c>
      <c r="I75" s="19" t="str">
        <f aca="false">IF(OR(B75="",D75=0),"",COUNTIFS(上位10件データ!$A:$A,$B75,上位10件データ!$F:$F,"&lt;100"))</f>
        <v/>
      </c>
      <c r="J75" s="19" t="str">
        <f aca="false">IF(E75="","",COUNTIF(L75:O75,"○")+IF(P75&gt;=0.5,1,0))</f>
        <v/>
      </c>
      <c r="K75" s="29" t="str">
        <f aca="false">IF(J75="","",IF(J75&gt;=設定!$B$19,"◎ 有力",IF(J75&gt;=設定!$B$20,"○ 候補",IF(J75&gt;=3,"△ 要検討","× 見送り"))))</f>
        <v/>
      </c>
      <c r="L75" s="19" t="str">
        <f aca="false">IF(E75="","",IF(E75&gt;=設定!$B$14,"○","×"))</f>
        <v/>
      </c>
      <c r="M75" s="19" t="str">
        <f aca="false">IF(H75="","",IF(H75&lt;=設定!$B$15,"○","×"))</f>
        <v/>
      </c>
      <c r="N75" s="19" t="str">
        <f aca="false">IF(I75="","",IF(I75&gt;=設定!$B$16,"○","×"))</f>
        <v/>
      </c>
      <c r="O75" s="19" t="str">
        <f aca="false">IF(G75="","",IF(AND(G75&gt;=設定!$B$17,G75&lt;=設定!$B$18),"○","×"))</f>
        <v/>
      </c>
      <c r="P75" s="30" t="str">
        <f aca="false">IF(OR(B75="",D75=0),"",COUNTIFS(上位10件データ!$A:$A,$B75,上位10件データ!$H:$H,"はい")/D75)</f>
        <v/>
      </c>
      <c r="Q75" s="22"/>
    </row>
    <row r="76" customFormat="false" ht="15" hidden="false" customHeight="true" outlineLevel="0" collapsed="false">
      <c r="A76" s="19" t="str">
        <f aca="false">IF(B76="","",ROW()-1)</f>
        <v/>
      </c>
      <c r="B76" s="22"/>
      <c r="C76" s="9"/>
      <c r="D76" s="19" t="str">
        <f aca="false">IF(B76="","",COUNTIFS(上位10件データ!$A:$A,$B76))</f>
        <v/>
      </c>
      <c r="E76" s="28" t="str">
        <f aca="false">IF(OR(B76="",D76=0),"",AVERAGEIFS(上位10件データ!$G:$G,上位10件データ!$A:$A,$B76))</f>
        <v/>
      </c>
      <c r="F76" s="28" t="str">
        <f aca="false">IF(OR(B76="",D76=0),"",SUMIFS(上位10件データ!$G:$G,上位10件データ!$A:$A,$B76))</f>
        <v/>
      </c>
      <c r="G76" s="28" t="str">
        <f aca="false">IF(OR(B76="",D76=0),"",AVERAGEIFS(上位10件データ!$E:$E,上位10件データ!$A:$A,$B76))</f>
        <v/>
      </c>
      <c r="H76" s="19" t="str">
        <f aca="false">IF(OR(B76="",D76=0),"",COUNTIFS(上位10件データ!$A:$A,$B76,上位10件データ!$F:$F,"&gt;=1000"))</f>
        <v/>
      </c>
      <c r="I76" s="19" t="str">
        <f aca="false">IF(OR(B76="",D76=0),"",COUNTIFS(上位10件データ!$A:$A,$B76,上位10件データ!$F:$F,"&lt;100"))</f>
        <v/>
      </c>
      <c r="J76" s="19" t="str">
        <f aca="false">IF(E76="","",COUNTIF(L76:O76,"○")+IF(P76&gt;=0.5,1,0))</f>
        <v/>
      </c>
      <c r="K76" s="29" t="str">
        <f aca="false">IF(J76="","",IF(J76&gt;=設定!$B$19,"◎ 有力",IF(J76&gt;=設定!$B$20,"○ 候補",IF(J76&gt;=3,"△ 要検討","× 見送り"))))</f>
        <v/>
      </c>
      <c r="L76" s="19" t="str">
        <f aca="false">IF(E76="","",IF(E76&gt;=設定!$B$14,"○","×"))</f>
        <v/>
      </c>
      <c r="M76" s="19" t="str">
        <f aca="false">IF(H76="","",IF(H76&lt;=設定!$B$15,"○","×"))</f>
        <v/>
      </c>
      <c r="N76" s="19" t="str">
        <f aca="false">IF(I76="","",IF(I76&gt;=設定!$B$16,"○","×"))</f>
        <v/>
      </c>
      <c r="O76" s="19" t="str">
        <f aca="false">IF(G76="","",IF(AND(G76&gt;=設定!$B$17,G76&lt;=設定!$B$18),"○","×"))</f>
        <v/>
      </c>
      <c r="P76" s="30" t="str">
        <f aca="false">IF(OR(B76="",D76=0),"",COUNTIFS(上位10件データ!$A:$A,$B76,上位10件データ!$H:$H,"はい")/D76)</f>
        <v/>
      </c>
      <c r="Q76" s="22"/>
    </row>
    <row r="77" customFormat="false" ht="15" hidden="false" customHeight="true" outlineLevel="0" collapsed="false">
      <c r="A77" s="19" t="str">
        <f aca="false">IF(B77="","",ROW()-1)</f>
        <v/>
      </c>
      <c r="B77" s="22"/>
      <c r="C77" s="9"/>
      <c r="D77" s="19" t="str">
        <f aca="false">IF(B77="","",COUNTIFS(上位10件データ!$A:$A,$B77))</f>
        <v/>
      </c>
      <c r="E77" s="28" t="str">
        <f aca="false">IF(OR(B77="",D77=0),"",AVERAGEIFS(上位10件データ!$G:$G,上位10件データ!$A:$A,$B77))</f>
        <v/>
      </c>
      <c r="F77" s="28" t="str">
        <f aca="false">IF(OR(B77="",D77=0),"",SUMIFS(上位10件データ!$G:$G,上位10件データ!$A:$A,$B77))</f>
        <v/>
      </c>
      <c r="G77" s="28" t="str">
        <f aca="false">IF(OR(B77="",D77=0),"",AVERAGEIFS(上位10件データ!$E:$E,上位10件データ!$A:$A,$B77))</f>
        <v/>
      </c>
      <c r="H77" s="19" t="str">
        <f aca="false">IF(OR(B77="",D77=0),"",COUNTIFS(上位10件データ!$A:$A,$B77,上位10件データ!$F:$F,"&gt;=1000"))</f>
        <v/>
      </c>
      <c r="I77" s="19" t="str">
        <f aca="false">IF(OR(B77="",D77=0),"",COUNTIFS(上位10件データ!$A:$A,$B77,上位10件データ!$F:$F,"&lt;100"))</f>
        <v/>
      </c>
      <c r="J77" s="19" t="str">
        <f aca="false">IF(E77="","",COUNTIF(L77:O77,"○")+IF(P77&gt;=0.5,1,0))</f>
        <v/>
      </c>
      <c r="K77" s="29" t="str">
        <f aca="false">IF(J77="","",IF(J77&gt;=設定!$B$19,"◎ 有力",IF(J77&gt;=設定!$B$20,"○ 候補",IF(J77&gt;=3,"△ 要検討","× 見送り"))))</f>
        <v/>
      </c>
      <c r="L77" s="19" t="str">
        <f aca="false">IF(E77="","",IF(E77&gt;=設定!$B$14,"○","×"))</f>
        <v/>
      </c>
      <c r="M77" s="19" t="str">
        <f aca="false">IF(H77="","",IF(H77&lt;=設定!$B$15,"○","×"))</f>
        <v/>
      </c>
      <c r="N77" s="19" t="str">
        <f aca="false">IF(I77="","",IF(I77&gt;=設定!$B$16,"○","×"))</f>
        <v/>
      </c>
      <c r="O77" s="19" t="str">
        <f aca="false">IF(G77="","",IF(AND(G77&gt;=設定!$B$17,G77&lt;=設定!$B$18),"○","×"))</f>
        <v/>
      </c>
      <c r="P77" s="30" t="str">
        <f aca="false">IF(OR(B77="",D77=0),"",COUNTIFS(上位10件データ!$A:$A,$B77,上位10件データ!$H:$H,"はい")/D77)</f>
        <v/>
      </c>
      <c r="Q77" s="22"/>
    </row>
    <row r="78" customFormat="false" ht="15" hidden="false" customHeight="true" outlineLevel="0" collapsed="false">
      <c r="A78" s="19" t="str">
        <f aca="false">IF(B78="","",ROW()-1)</f>
        <v/>
      </c>
      <c r="B78" s="22"/>
      <c r="C78" s="9"/>
      <c r="D78" s="19" t="str">
        <f aca="false">IF(B78="","",COUNTIFS(上位10件データ!$A:$A,$B78))</f>
        <v/>
      </c>
      <c r="E78" s="28" t="str">
        <f aca="false">IF(OR(B78="",D78=0),"",AVERAGEIFS(上位10件データ!$G:$G,上位10件データ!$A:$A,$B78))</f>
        <v/>
      </c>
      <c r="F78" s="28" t="str">
        <f aca="false">IF(OR(B78="",D78=0),"",SUMIFS(上位10件データ!$G:$G,上位10件データ!$A:$A,$B78))</f>
        <v/>
      </c>
      <c r="G78" s="28" t="str">
        <f aca="false">IF(OR(B78="",D78=0),"",AVERAGEIFS(上位10件データ!$E:$E,上位10件データ!$A:$A,$B78))</f>
        <v/>
      </c>
      <c r="H78" s="19" t="str">
        <f aca="false">IF(OR(B78="",D78=0),"",COUNTIFS(上位10件データ!$A:$A,$B78,上位10件データ!$F:$F,"&gt;=1000"))</f>
        <v/>
      </c>
      <c r="I78" s="19" t="str">
        <f aca="false">IF(OR(B78="",D78=0),"",COUNTIFS(上位10件データ!$A:$A,$B78,上位10件データ!$F:$F,"&lt;100"))</f>
        <v/>
      </c>
      <c r="J78" s="19" t="str">
        <f aca="false">IF(E78="","",COUNTIF(L78:O78,"○")+IF(P78&gt;=0.5,1,0))</f>
        <v/>
      </c>
      <c r="K78" s="29" t="str">
        <f aca="false">IF(J78="","",IF(J78&gt;=設定!$B$19,"◎ 有力",IF(J78&gt;=設定!$B$20,"○ 候補",IF(J78&gt;=3,"△ 要検討","× 見送り"))))</f>
        <v/>
      </c>
      <c r="L78" s="19" t="str">
        <f aca="false">IF(E78="","",IF(E78&gt;=設定!$B$14,"○","×"))</f>
        <v/>
      </c>
      <c r="M78" s="19" t="str">
        <f aca="false">IF(H78="","",IF(H78&lt;=設定!$B$15,"○","×"))</f>
        <v/>
      </c>
      <c r="N78" s="19" t="str">
        <f aca="false">IF(I78="","",IF(I78&gt;=設定!$B$16,"○","×"))</f>
        <v/>
      </c>
      <c r="O78" s="19" t="str">
        <f aca="false">IF(G78="","",IF(AND(G78&gt;=設定!$B$17,G78&lt;=設定!$B$18),"○","×"))</f>
        <v/>
      </c>
      <c r="P78" s="30" t="str">
        <f aca="false">IF(OR(B78="",D78=0),"",COUNTIFS(上位10件データ!$A:$A,$B78,上位10件データ!$H:$H,"はい")/D78)</f>
        <v/>
      </c>
      <c r="Q78" s="22"/>
    </row>
    <row r="79" customFormat="false" ht="15" hidden="false" customHeight="true" outlineLevel="0" collapsed="false">
      <c r="A79" s="19" t="str">
        <f aca="false">IF(B79="","",ROW()-1)</f>
        <v/>
      </c>
      <c r="B79" s="22"/>
      <c r="C79" s="9"/>
      <c r="D79" s="19" t="str">
        <f aca="false">IF(B79="","",COUNTIFS(上位10件データ!$A:$A,$B79))</f>
        <v/>
      </c>
      <c r="E79" s="28" t="str">
        <f aca="false">IF(OR(B79="",D79=0),"",AVERAGEIFS(上位10件データ!$G:$G,上位10件データ!$A:$A,$B79))</f>
        <v/>
      </c>
      <c r="F79" s="28" t="str">
        <f aca="false">IF(OR(B79="",D79=0),"",SUMIFS(上位10件データ!$G:$G,上位10件データ!$A:$A,$B79))</f>
        <v/>
      </c>
      <c r="G79" s="28" t="str">
        <f aca="false">IF(OR(B79="",D79=0),"",AVERAGEIFS(上位10件データ!$E:$E,上位10件データ!$A:$A,$B79))</f>
        <v/>
      </c>
      <c r="H79" s="19" t="str">
        <f aca="false">IF(OR(B79="",D79=0),"",COUNTIFS(上位10件データ!$A:$A,$B79,上位10件データ!$F:$F,"&gt;=1000"))</f>
        <v/>
      </c>
      <c r="I79" s="19" t="str">
        <f aca="false">IF(OR(B79="",D79=0),"",COUNTIFS(上位10件データ!$A:$A,$B79,上位10件データ!$F:$F,"&lt;100"))</f>
        <v/>
      </c>
      <c r="J79" s="19" t="str">
        <f aca="false">IF(E79="","",COUNTIF(L79:O79,"○")+IF(P79&gt;=0.5,1,0))</f>
        <v/>
      </c>
      <c r="K79" s="29" t="str">
        <f aca="false">IF(J79="","",IF(J79&gt;=設定!$B$19,"◎ 有力",IF(J79&gt;=設定!$B$20,"○ 候補",IF(J79&gt;=3,"△ 要検討","× 見送り"))))</f>
        <v/>
      </c>
      <c r="L79" s="19" t="str">
        <f aca="false">IF(E79="","",IF(E79&gt;=設定!$B$14,"○","×"))</f>
        <v/>
      </c>
      <c r="M79" s="19" t="str">
        <f aca="false">IF(H79="","",IF(H79&lt;=設定!$B$15,"○","×"))</f>
        <v/>
      </c>
      <c r="N79" s="19" t="str">
        <f aca="false">IF(I79="","",IF(I79&gt;=設定!$B$16,"○","×"))</f>
        <v/>
      </c>
      <c r="O79" s="19" t="str">
        <f aca="false">IF(G79="","",IF(AND(G79&gt;=設定!$B$17,G79&lt;=設定!$B$18),"○","×"))</f>
        <v/>
      </c>
      <c r="P79" s="30" t="str">
        <f aca="false">IF(OR(B79="",D79=0),"",COUNTIFS(上位10件データ!$A:$A,$B79,上位10件データ!$H:$H,"はい")/D79)</f>
        <v/>
      </c>
      <c r="Q79" s="22"/>
    </row>
    <row r="80" customFormat="false" ht="15" hidden="false" customHeight="true" outlineLevel="0" collapsed="false">
      <c r="A80" s="19" t="str">
        <f aca="false">IF(B80="","",ROW()-1)</f>
        <v/>
      </c>
      <c r="B80" s="22"/>
      <c r="C80" s="9"/>
      <c r="D80" s="19" t="str">
        <f aca="false">IF(B80="","",COUNTIFS(上位10件データ!$A:$A,$B80))</f>
        <v/>
      </c>
      <c r="E80" s="28" t="str">
        <f aca="false">IF(OR(B80="",D80=0),"",AVERAGEIFS(上位10件データ!$G:$G,上位10件データ!$A:$A,$B80))</f>
        <v/>
      </c>
      <c r="F80" s="28" t="str">
        <f aca="false">IF(OR(B80="",D80=0),"",SUMIFS(上位10件データ!$G:$G,上位10件データ!$A:$A,$B80))</f>
        <v/>
      </c>
      <c r="G80" s="28" t="str">
        <f aca="false">IF(OR(B80="",D80=0),"",AVERAGEIFS(上位10件データ!$E:$E,上位10件データ!$A:$A,$B80))</f>
        <v/>
      </c>
      <c r="H80" s="19" t="str">
        <f aca="false">IF(OR(B80="",D80=0),"",COUNTIFS(上位10件データ!$A:$A,$B80,上位10件データ!$F:$F,"&gt;=1000"))</f>
        <v/>
      </c>
      <c r="I80" s="19" t="str">
        <f aca="false">IF(OR(B80="",D80=0),"",COUNTIFS(上位10件データ!$A:$A,$B80,上位10件データ!$F:$F,"&lt;100"))</f>
        <v/>
      </c>
      <c r="J80" s="19" t="str">
        <f aca="false">IF(E80="","",COUNTIF(L80:O80,"○")+IF(P80&gt;=0.5,1,0))</f>
        <v/>
      </c>
      <c r="K80" s="29" t="str">
        <f aca="false">IF(J80="","",IF(J80&gt;=設定!$B$19,"◎ 有力",IF(J80&gt;=設定!$B$20,"○ 候補",IF(J80&gt;=3,"△ 要検討","× 見送り"))))</f>
        <v/>
      </c>
      <c r="L80" s="19" t="str">
        <f aca="false">IF(E80="","",IF(E80&gt;=設定!$B$14,"○","×"))</f>
        <v/>
      </c>
      <c r="M80" s="19" t="str">
        <f aca="false">IF(H80="","",IF(H80&lt;=設定!$B$15,"○","×"))</f>
        <v/>
      </c>
      <c r="N80" s="19" t="str">
        <f aca="false">IF(I80="","",IF(I80&gt;=設定!$B$16,"○","×"))</f>
        <v/>
      </c>
      <c r="O80" s="19" t="str">
        <f aca="false">IF(G80="","",IF(AND(G80&gt;=設定!$B$17,G80&lt;=設定!$B$18),"○","×"))</f>
        <v/>
      </c>
      <c r="P80" s="30" t="str">
        <f aca="false">IF(OR(B80="",D80=0),"",COUNTIFS(上位10件データ!$A:$A,$B80,上位10件データ!$H:$H,"はい")/D80)</f>
        <v/>
      </c>
      <c r="Q80" s="22"/>
    </row>
    <row r="81" customFormat="false" ht="15" hidden="false" customHeight="true" outlineLevel="0" collapsed="false">
      <c r="A81" s="19" t="str">
        <f aca="false">IF(B81="","",ROW()-1)</f>
        <v/>
      </c>
      <c r="B81" s="22"/>
      <c r="C81" s="9"/>
      <c r="D81" s="19" t="str">
        <f aca="false">IF(B81="","",COUNTIFS(上位10件データ!$A:$A,$B81))</f>
        <v/>
      </c>
      <c r="E81" s="28" t="str">
        <f aca="false">IF(OR(B81="",D81=0),"",AVERAGEIFS(上位10件データ!$G:$G,上位10件データ!$A:$A,$B81))</f>
        <v/>
      </c>
      <c r="F81" s="28" t="str">
        <f aca="false">IF(OR(B81="",D81=0),"",SUMIFS(上位10件データ!$G:$G,上位10件データ!$A:$A,$B81))</f>
        <v/>
      </c>
      <c r="G81" s="28" t="str">
        <f aca="false">IF(OR(B81="",D81=0),"",AVERAGEIFS(上位10件データ!$E:$E,上位10件データ!$A:$A,$B81))</f>
        <v/>
      </c>
      <c r="H81" s="19" t="str">
        <f aca="false">IF(OR(B81="",D81=0),"",COUNTIFS(上位10件データ!$A:$A,$B81,上位10件データ!$F:$F,"&gt;=1000"))</f>
        <v/>
      </c>
      <c r="I81" s="19" t="str">
        <f aca="false">IF(OR(B81="",D81=0),"",COUNTIFS(上位10件データ!$A:$A,$B81,上位10件データ!$F:$F,"&lt;100"))</f>
        <v/>
      </c>
      <c r="J81" s="19" t="str">
        <f aca="false">IF(E81="","",COUNTIF(L81:O81,"○")+IF(P81&gt;=0.5,1,0))</f>
        <v/>
      </c>
      <c r="K81" s="29" t="str">
        <f aca="false">IF(J81="","",IF(J81&gt;=設定!$B$19,"◎ 有力",IF(J81&gt;=設定!$B$20,"○ 候補",IF(J81&gt;=3,"△ 要検討","× 見送り"))))</f>
        <v/>
      </c>
      <c r="L81" s="19" t="str">
        <f aca="false">IF(E81="","",IF(E81&gt;=設定!$B$14,"○","×"))</f>
        <v/>
      </c>
      <c r="M81" s="19" t="str">
        <f aca="false">IF(H81="","",IF(H81&lt;=設定!$B$15,"○","×"))</f>
        <v/>
      </c>
      <c r="N81" s="19" t="str">
        <f aca="false">IF(I81="","",IF(I81&gt;=設定!$B$16,"○","×"))</f>
        <v/>
      </c>
      <c r="O81" s="19" t="str">
        <f aca="false">IF(G81="","",IF(AND(G81&gt;=設定!$B$17,G81&lt;=設定!$B$18),"○","×"))</f>
        <v/>
      </c>
      <c r="P81" s="30" t="str">
        <f aca="false">IF(OR(B81="",D81=0),"",COUNTIFS(上位10件データ!$A:$A,$B81,上位10件データ!$H:$H,"はい")/D81)</f>
        <v/>
      </c>
      <c r="Q81" s="22"/>
    </row>
    <row r="82" customFormat="false" ht="15" hidden="false" customHeight="true" outlineLevel="0" collapsed="false">
      <c r="A82" s="19" t="str">
        <f aca="false">IF(B82="","",ROW()-1)</f>
        <v/>
      </c>
      <c r="B82" s="22"/>
      <c r="C82" s="9"/>
      <c r="D82" s="19" t="str">
        <f aca="false">IF(B82="","",COUNTIFS(上位10件データ!$A:$A,$B82))</f>
        <v/>
      </c>
      <c r="E82" s="28" t="str">
        <f aca="false">IF(OR(B82="",D82=0),"",AVERAGEIFS(上位10件データ!$G:$G,上位10件データ!$A:$A,$B82))</f>
        <v/>
      </c>
      <c r="F82" s="28" t="str">
        <f aca="false">IF(OR(B82="",D82=0),"",SUMIFS(上位10件データ!$G:$G,上位10件データ!$A:$A,$B82))</f>
        <v/>
      </c>
      <c r="G82" s="28" t="str">
        <f aca="false">IF(OR(B82="",D82=0),"",AVERAGEIFS(上位10件データ!$E:$E,上位10件データ!$A:$A,$B82))</f>
        <v/>
      </c>
      <c r="H82" s="19" t="str">
        <f aca="false">IF(OR(B82="",D82=0),"",COUNTIFS(上位10件データ!$A:$A,$B82,上位10件データ!$F:$F,"&gt;=1000"))</f>
        <v/>
      </c>
      <c r="I82" s="19" t="str">
        <f aca="false">IF(OR(B82="",D82=0),"",COUNTIFS(上位10件データ!$A:$A,$B82,上位10件データ!$F:$F,"&lt;100"))</f>
        <v/>
      </c>
      <c r="J82" s="19" t="str">
        <f aca="false">IF(E82="","",COUNTIF(L82:O82,"○")+IF(P82&gt;=0.5,1,0))</f>
        <v/>
      </c>
      <c r="K82" s="29" t="str">
        <f aca="false">IF(J82="","",IF(J82&gt;=設定!$B$19,"◎ 有力",IF(J82&gt;=設定!$B$20,"○ 候補",IF(J82&gt;=3,"△ 要検討","× 見送り"))))</f>
        <v/>
      </c>
      <c r="L82" s="19" t="str">
        <f aca="false">IF(E82="","",IF(E82&gt;=設定!$B$14,"○","×"))</f>
        <v/>
      </c>
      <c r="M82" s="19" t="str">
        <f aca="false">IF(H82="","",IF(H82&lt;=設定!$B$15,"○","×"))</f>
        <v/>
      </c>
      <c r="N82" s="19" t="str">
        <f aca="false">IF(I82="","",IF(I82&gt;=設定!$B$16,"○","×"))</f>
        <v/>
      </c>
      <c r="O82" s="19" t="str">
        <f aca="false">IF(G82="","",IF(AND(G82&gt;=設定!$B$17,G82&lt;=設定!$B$18),"○","×"))</f>
        <v/>
      </c>
      <c r="P82" s="30" t="str">
        <f aca="false">IF(OR(B82="",D82=0),"",COUNTIFS(上位10件データ!$A:$A,$B82,上位10件データ!$H:$H,"はい")/D82)</f>
        <v/>
      </c>
      <c r="Q82" s="22"/>
    </row>
    <row r="83" customFormat="false" ht="15" hidden="false" customHeight="true" outlineLevel="0" collapsed="false">
      <c r="A83" s="19" t="str">
        <f aca="false">IF(B83="","",ROW()-1)</f>
        <v/>
      </c>
      <c r="B83" s="22"/>
      <c r="C83" s="9"/>
      <c r="D83" s="19" t="str">
        <f aca="false">IF(B83="","",COUNTIFS(上位10件データ!$A:$A,$B83))</f>
        <v/>
      </c>
      <c r="E83" s="28" t="str">
        <f aca="false">IF(OR(B83="",D83=0),"",AVERAGEIFS(上位10件データ!$G:$G,上位10件データ!$A:$A,$B83))</f>
        <v/>
      </c>
      <c r="F83" s="28" t="str">
        <f aca="false">IF(OR(B83="",D83=0),"",SUMIFS(上位10件データ!$G:$G,上位10件データ!$A:$A,$B83))</f>
        <v/>
      </c>
      <c r="G83" s="28" t="str">
        <f aca="false">IF(OR(B83="",D83=0),"",AVERAGEIFS(上位10件データ!$E:$E,上位10件データ!$A:$A,$B83))</f>
        <v/>
      </c>
      <c r="H83" s="19" t="str">
        <f aca="false">IF(OR(B83="",D83=0),"",COUNTIFS(上位10件データ!$A:$A,$B83,上位10件データ!$F:$F,"&gt;=1000"))</f>
        <v/>
      </c>
      <c r="I83" s="19" t="str">
        <f aca="false">IF(OR(B83="",D83=0),"",COUNTIFS(上位10件データ!$A:$A,$B83,上位10件データ!$F:$F,"&lt;100"))</f>
        <v/>
      </c>
      <c r="J83" s="19" t="str">
        <f aca="false">IF(E83="","",COUNTIF(L83:O83,"○")+IF(P83&gt;=0.5,1,0))</f>
        <v/>
      </c>
      <c r="K83" s="29" t="str">
        <f aca="false">IF(J83="","",IF(J83&gt;=設定!$B$19,"◎ 有力",IF(J83&gt;=設定!$B$20,"○ 候補",IF(J83&gt;=3,"△ 要検討","× 見送り"))))</f>
        <v/>
      </c>
      <c r="L83" s="19" t="str">
        <f aca="false">IF(E83="","",IF(E83&gt;=設定!$B$14,"○","×"))</f>
        <v/>
      </c>
      <c r="M83" s="19" t="str">
        <f aca="false">IF(H83="","",IF(H83&lt;=設定!$B$15,"○","×"))</f>
        <v/>
      </c>
      <c r="N83" s="19" t="str">
        <f aca="false">IF(I83="","",IF(I83&gt;=設定!$B$16,"○","×"))</f>
        <v/>
      </c>
      <c r="O83" s="19" t="str">
        <f aca="false">IF(G83="","",IF(AND(G83&gt;=設定!$B$17,G83&lt;=設定!$B$18),"○","×"))</f>
        <v/>
      </c>
      <c r="P83" s="30" t="str">
        <f aca="false">IF(OR(B83="",D83=0),"",COUNTIFS(上位10件データ!$A:$A,$B83,上位10件データ!$H:$H,"はい")/D83)</f>
        <v/>
      </c>
      <c r="Q83" s="22"/>
    </row>
    <row r="84" customFormat="false" ht="15" hidden="false" customHeight="true" outlineLevel="0" collapsed="false">
      <c r="A84" s="19" t="str">
        <f aca="false">IF(B84="","",ROW()-1)</f>
        <v/>
      </c>
      <c r="B84" s="22"/>
      <c r="C84" s="9"/>
      <c r="D84" s="19" t="str">
        <f aca="false">IF(B84="","",COUNTIFS(上位10件データ!$A:$A,$B84))</f>
        <v/>
      </c>
      <c r="E84" s="28" t="str">
        <f aca="false">IF(OR(B84="",D84=0),"",AVERAGEIFS(上位10件データ!$G:$G,上位10件データ!$A:$A,$B84))</f>
        <v/>
      </c>
      <c r="F84" s="28" t="str">
        <f aca="false">IF(OR(B84="",D84=0),"",SUMIFS(上位10件データ!$G:$G,上位10件データ!$A:$A,$B84))</f>
        <v/>
      </c>
      <c r="G84" s="28" t="str">
        <f aca="false">IF(OR(B84="",D84=0),"",AVERAGEIFS(上位10件データ!$E:$E,上位10件データ!$A:$A,$B84))</f>
        <v/>
      </c>
      <c r="H84" s="19" t="str">
        <f aca="false">IF(OR(B84="",D84=0),"",COUNTIFS(上位10件データ!$A:$A,$B84,上位10件データ!$F:$F,"&gt;=1000"))</f>
        <v/>
      </c>
      <c r="I84" s="19" t="str">
        <f aca="false">IF(OR(B84="",D84=0),"",COUNTIFS(上位10件データ!$A:$A,$B84,上位10件データ!$F:$F,"&lt;100"))</f>
        <v/>
      </c>
      <c r="J84" s="19" t="str">
        <f aca="false">IF(E84="","",COUNTIF(L84:O84,"○")+IF(P84&gt;=0.5,1,0))</f>
        <v/>
      </c>
      <c r="K84" s="29" t="str">
        <f aca="false">IF(J84="","",IF(J84&gt;=設定!$B$19,"◎ 有力",IF(J84&gt;=設定!$B$20,"○ 候補",IF(J84&gt;=3,"△ 要検討","× 見送り"))))</f>
        <v/>
      </c>
      <c r="L84" s="19" t="str">
        <f aca="false">IF(E84="","",IF(E84&gt;=設定!$B$14,"○","×"))</f>
        <v/>
      </c>
      <c r="M84" s="19" t="str">
        <f aca="false">IF(H84="","",IF(H84&lt;=設定!$B$15,"○","×"))</f>
        <v/>
      </c>
      <c r="N84" s="19" t="str">
        <f aca="false">IF(I84="","",IF(I84&gt;=設定!$B$16,"○","×"))</f>
        <v/>
      </c>
      <c r="O84" s="19" t="str">
        <f aca="false">IF(G84="","",IF(AND(G84&gt;=設定!$B$17,G84&lt;=設定!$B$18),"○","×"))</f>
        <v/>
      </c>
      <c r="P84" s="30" t="str">
        <f aca="false">IF(OR(B84="",D84=0),"",COUNTIFS(上位10件データ!$A:$A,$B84,上位10件データ!$H:$H,"はい")/D84)</f>
        <v/>
      </c>
      <c r="Q84" s="22"/>
    </row>
    <row r="85" customFormat="false" ht="15" hidden="false" customHeight="true" outlineLevel="0" collapsed="false">
      <c r="A85" s="19" t="str">
        <f aca="false">IF(B85="","",ROW()-1)</f>
        <v/>
      </c>
      <c r="B85" s="22"/>
      <c r="C85" s="9"/>
      <c r="D85" s="19" t="str">
        <f aca="false">IF(B85="","",COUNTIFS(上位10件データ!$A:$A,$B85))</f>
        <v/>
      </c>
      <c r="E85" s="28" t="str">
        <f aca="false">IF(OR(B85="",D85=0),"",AVERAGEIFS(上位10件データ!$G:$G,上位10件データ!$A:$A,$B85))</f>
        <v/>
      </c>
      <c r="F85" s="28" t="str">
        <f aca="false">IF(OR(B85="",D85=0),"",SUMIFS(上位10件データ!$G:$G,上位10件データ!$A:$A,$B85))</f>
        <v/>
      </c>
      <c r="G85" s="28" t="str">
        <f aca="false">IF(OR(B85="",D85=0),"",AVERAGEIFS(上位10件データ!$E:$E,上位10件データ!$A:$A,$B85))</f>
        <v/>
      </c>
      <c r="H85" s="19" t="str">
        <f aca="false">IF(OR(B85="",D85=0),"",COUNTIFS(上位10件データ!$A:$A,$B85,上位10件データ!$F:$F,"&gt;=1000"))</f>
        <v/>
      </c>
      <c r="I85" s="19" t="str">
        <f aca="false">IF(OR(B85="",D85=0),"",COUNTIFS(上位10件データ!$A:$A,$B85,上位10件データ!$F:$F,"&lt;100"))</f>
        <v/>
      </c>
      <c r="J85" s="19" t="str">
        <f aca="false">IF(E85="","",COUNTIF(L85:O85,"○")+IF(P85&gt;=0.5,1,0))</f>
        <v/>
      </c>
      <c r="K85" s="29" t="str">
        <f aca="false">IF(J85="","",IF(J85&gt;=設定!$B$19,"◎ 有力",IF(J85&gt;=設定!$B$20,"○ 候補",IF(J85&gt;=3,"△ 要検討","× 見送り"))))</f>
        <v/>
      </c>
      <c r="L85" s="19" t="str">
        <f aca="false">IF(E85="","",IF(E85&gt;=設定!$B$14,"○","×"))</f>
        <v/>
      </c>
      <c r="M85" s="19" t="str">
        <f aca="false">IF(H85="","",IF(H85&lt;=設定!$B$15,"○","×"))</f>
        <v/>
      </c>
      <c r="N85" s="19" t="str">
        <f aca="false">IF(I85="","",IF(I85&gt;=設定!$B$16,"○","×"))</f>
        <v/>
      </c>
      <c r="O85" s="19" t="str">
        <f aca="false">IF(G85="","",IF(AND(G85&gt;=設定!$B$17,G85&lt;=設定!$B$18),"○","×"))</f>
        <v/>
      </c>
      <c r="P85" s="30" t="str">
        <f aca="false">IF(OR(B85="",D85=0),"",COUNTIFS(上位10件データ!$A:$A,$B85,上位10件データ!$H:$H,"はい")/D85)</f>
        <v/>
      </c>
      <c r="Q85" s="22"/>
    </row>
    <row r="86" customFormat="false" ht="15" hidden="false" customHeight="true" outlineLevel="0" collapsed="false">
      <c r="A86" s="19" t="str">
        <f aca="false">IF(B86="","",ROW()-1)</f>
        <v/>
      </c>
      <c r="B86" s="22"/>
      <c r="C86" s="9"/>
      <c r="D86" s="19" t="str">
        <f aca="false">IF(B86="","",COUNTIFS(上位10件データ!$A:$A,$B86))</f>
        <v/>
      </c>
      <c r="E86" s="28" t="str">
        <f aca="false">IF(OR(B86="",D86=0),"",AVERAGEIFS(上位10件データ!$G:$G,上位10件データ!$A:$A,$B86))</f>
        <v/>
      </c>
      <c r="F86" s="28" t="str">
        <f aca="false">IF(OR(B86="",D86=0),"",SUMIFS(上位10件データ!$G:$G,上位10件データ!$A:$A,$B86))</f>
        <v/>
      </c>
      <c r="G86" s="28" t="str">
        <f aca="false">IF(OR(B86="",D86=0),"",AVERAGEIFS(上位10件データ!$E:$E,上位10件データ!$A:$A,$B86))</f>
        <v/>
      </c>
      <c r="H86" s="19" t="str">
        <f aca="false">IF(OR(B86="",D86=0),"",COUNTIFS(上位10件データ!$A:$A,$B86,上位10件データ!$F:$F,"&gt;=1000"))</f>
        <v/>
      </c>
      <c r="I86" s="19" t="str">
        <f aca="false">IF(OR(B86="",D86=0),"",COUNTIFS(上位10件データ!$A:$A,$B86,上位10件データ!$F:$F,"&lt;100"))</f>
        <v/>
      </c>
      <c r="J86" s="19" t="str">
        <f aca="false">IF(E86="","",COUNTIF(L86:O86,"○")+IF(P86&gt;=0.5,1,0))</f>
        <v/>
      </c>
      <c r="K86" s="29" t="str">
        <f aca="false">IF(J86="","",IF(J86&gt;=設定!$B$19,"◎ 有力",IF(J86&gt;=設定!$B$20,"○ 候補",IF(J86&gt;=3,"△ 要検討","× 見送り"))))</f>
        <v/>
      </c>
      <c r="L86" s="19" t="str">
        <f aca="false">IF(E86="","",IF(E86&gt;=設定!$B$14,"○","×"))</f>
        <v/>
      </c>
      <c r="M86" s="19" t="str">
        <f aca="false">IF(H86="","",IF(H86&lt;=設定!$B$15,"○","×"))</f>
        <v/>
      </c>
      <c r="N86" s="19" t="str">
        <f aca="false">IF(I86="","",IF(I86&gt;=設定!$B$16,"○","×"))</f>
        <v/>
      </c>
      <c r="O86" s="19" t="str">
        <f aca="false">IF(G86="","",IF(AND(G86&gt;=設定!$B$17,G86&lt;=設定!$B$18),"○","×"))</f>
        <v/>
      </c>
      <c r="P86" s="30" t="str">
        <f aca="false">IF(OR(B86="",D86=0),"",COUNTIFS(上位10件データ!$A:$A,$B86,上位10件データ!$H:$H,"はい")/D86)</f>
        <v/>
      </c>
      <c r="Q86" s="22"/>
    </row>
    <row r="87" customFormat="false" ht="15" hidden="false" customHeight="true" outlineLevel="0" collapsed="false">
      <c r="A87" s="19" t="str">
        <f aca="false">IF(B87="","",ROW()-1)</f>
        <v/>
      </c>
      <c r="B87" s="22"/>
      <c r="C87" s="9"/>
      <c r="D87" s="19" t="str">
        <f aca="false">IF(B87="","",COUNTIFS(上位10件データ!$A:$A,$B87))</f>
        <v/>
      </c>
      <c r="E87" s="28" t="str">
        <f aca="false">IF(OR(B87="",D87=0),"",AVERAGEIFS(上位10件データ!$G:$G,上位10件データ!$A:$A,$B87))</f>
        <v/>
      </c>
      <c r="F87" s="28" t="str">
        <f aca="false">IF(OR(B87="",D87=0),"",SUMIFS(上位10件データ!$G:$G,上位10件データ!$A:$A,$B87))</f>
        <v/>
      </c>
      <c r="G87" s="28" t="str">
        <f aca="false">IF(OR(B87="",D87=0),"",AVERAGEIFS(上位10件データ!$E:$E,上位10件データ!$A:$A,$B87))</f>
        <v/>
      </c>
      <c r="H87" s="19" t="str">
        <f aca="false">IF(OR(B87="",D87=0),"",COUNTIFS(上位10件データ!$A:$A,$B87,上位10件データ!$F:$F,"&gt;=1000"))</f>
        <v/>
      </c>
      <c r="I87" s="19" t="str">
        <f aca="false">IF(OR(B87="",D87=0),"",COUNTIFS(上位10件データ!$A:$A,$B87,上位10件データ!$F:$F,"&lt;100"))</f>
        <v/>
      </c>
      <c r="J87" s="19" t="str">
        <f aca="false">IF(E87="","",COUNTIF(L87:O87,"○")+IF(P87&gt;=0.5,1,0))</f>
        <v/>
      </c>
      <c r="K87" s="29" t="str">
        <f aca="false">IF(J87="","",IF(J87&gt;=設定!$B$19,"◎ 有力",IF(J87&gt;=設定!$B$20,"○ 候補",IF(J87&gt;=3,"△ 要検討","× 見送り"))))</f>
        <v/>
      </c>
      <c r="L87" s="19" t="str">
        <f aca="false">IF(E87="","",IF(E87&gt;=設定!$B$14,"○","×"))</f>
        <v/>
      </c>
      <c r="M87" s="19" t="str">
        <f aca="false">IF(H87="","",IF(H87&lt;=設定!$B$15,"○","×"))</f>
        <v/>
      </c>
      <c r="N87" s="19" t="str">
        <f aca="false">IF(I87="","",IF(I87&gt;=設定!$B$16,"○","×"))</f>
        <v/>
      </c>
      <c r="O87" s="19" t="str">
        <f aca="false">IF(G87="","",IF(AND(G87&gt;=設定!$B$17,G87&lt;=設定!$B$18),"○","×"))</f>
        <v/>
      </c>
      <c r="P87" s="30" t="str">
        <f aca="false">IF(OR(B87="",D87=0),"",COUNTIFS(上位10件データ!$A:$A,$B87,上位10件データ!$H:$H,"はい")/D87)</f>
        <v/>
      </c>
      <c r="Q87" s="22"/>
    </row>
    <row r="88" customFormat="false" ht="15" hidden="false" customHeight="true" outlineLevel="0" collapsed="false">
      <c r="A88" s="19" t="str">
        <f aca="false">IF(B88="","",ROW()-1)</f>
        <v/>
      </c>
      <c r="B88" s="22"/>
      <c r="C88" s="9"/>
      <c r="D88" s="19" t="str">
        <f aca="false">IF(B88="","",COUNTIFS(上位10件データ!$A:$A,$B88))</f>
        <v/>
      </c>
      <c r="E88" s="28" t="str">
        <f aca="false">IF(OR(B88="",D88=0),"",AVERAGEIFS(上位10件データ!$G:$G,上位10件データ!$A:$A,$B88))</f>
        <v/>
      </c>
      <c r="F88" s="28" t="str">
        <f aca="false">IF(OR(B88="",D88=0),"",SUMIFS(上位10件データ!$G:$G,上位10件データ!$A:$A,$B88))</f>
        <v/>
      </c>
      <c r="G88" s="28" t="str">
        <f aca="false">IF(OR(B88="",D88=0),"",AVERAGEIFS(上位10件データ!$E:$E,上位10件データ!$A:$A,$B88))</f>
        <v/>
      </c>
      <c r="H88" s="19" t="str">
        <f aca="false">IF(OR(B88="",D88=0),"",COUNTIFS(上位10件データ!$A:$A,$B88,上位10件データ!$F:$F,"&gt;=1000"))</f>
        <v/>
      </c>
      <c r="I88" s="19" t="str">
        <f aca="false">IF(OR(B88="",D88=0),"",COUNTIFS(上位10件データ!$A:$A,$B88,上位10件データ!$F:$F,"&lt;100"))</f>
        <v/>
      </c>
      <c r="J88" s="19" t="str">
        <f aca="false">IF(E88="","",COUNTIF(L88:O88,"○")+IF(P88&gt;=0.5,1,0))</f>
        <v/>
      </c>
      <c r="K88" s="29" t="str">
        <f aca="false">IF(J88="","",IF(J88&gt;=設定!$B$19,"◎ 有力",IF(J88&gt;=設定!$B$20,"○ 候補",IF(J88&gt;=3,"△ 要検討","× 見送り"))))</f>
        <v/>
      </c>
      <c r="L88" s="19" t="str">
        <f aca="false">IF(E88="","",IF(E88&gt;=設定!$B$14,"○","×"))</f>
        <v/>
      </c>
      <c r="M88" s="19" t="str">
        <f aca="false">IF(H88="","",IF(H88&lt;=設定!$B$15,"○","×"))</f>
        <v/>
      </c>
      <c r="N88" s="19" t="str">
        <f aca="false">IF(I88="","",IF(I88&gt;=設定!$B$16,"○","×"))</f>
        <v/>
      </c>
      <c r="O88" s="19" t="str">
        <f aca="false">IF(G88="","",IF(AND(G88&gt;=設定!$B$17,G88&lt;=設定!$B$18),"○","×"))</f>
        <v/>
      </c>
      <c r="P88" s="30" t="str">
        <f aca="false">IF(OR(B88="",D88=0),"",COUNTIFS(上位10件データ!$A:$A,$B88,上位10件データ!$H:$H,"はい")/D88)</f>
        <v/>
      </c>
      <c r="Q88" s="22"/>
    </row>
    <row r="89" customFormat="false" ht="15" hidden="false" customHeight="true" outlineLevel="0" collapsed="false">
      <c r="A89" s="19" t="str">
        <f aca="false">IF(B89="","",ROW()-1)</f>
        <v/>
      </c>
      <c r="B89" s="22"/>
      <c r="C89" s="9"/>
      <c r="D89" s="19" t="str">
        <f aca="false">IF(B89="","",COUNTIFS(上位10件データ!$A:$A,$B89))</f>
        <v/>
      </c>
      <c r="E89" s="28" t="str">
        <f aca="false">IF(OR(B89="",D89=0),"",AVERAGEIFS(上位10件データ!$G:$G,上位10件データ!$A:$A,$B89))</f>
        <v/>
      </c>
      <c r="F89" s="28" t="str">
        <f aca="false">IF(OR(B89="",D89=0),"",SUMIFS(上位10件データ!$G:$G,上位10件データ!$A:$A,$B89))</f>
        <v/>
      </c>
      <c r="G89" s="28" t="str">
        <f aca="false">IF(OR(B89="",D89=0),"",AVERAGEIFS(上位10件データ!$E:$E,上位10件データ!$A:$A,$B89))</f>
        <v/>
      </c>
      <c r="H89" s="19" t="str">
        <f aca="false">IF(OR(B89="",D89=0),"",COUNTIFS(上位10件データ!$A:$A,$B89,上位10件データ!$F:$F,"&gt;=1000"))</f>
        <v/>
      </c>
      <c r="I89" s="19" t="str">
        <f aca="false">IF(OR(B89="",D89=0),"",COUNTIFS(上位10件データ!$A:$A,$B89,上位10件データ!$F:$F,"&lt;100"))</f>
        <v/>
      </c>
      <c r="J89" s="19" t="str">
        <f aca="false">IF(E89="","",COUNTIF(L89:O89,"○")+IF(P89&gt;=0.5,1,0))</f>
        <v/>
      </c>
      <c r="K89" s="29" t="str">
        <f aca="false">IF(J89="","",IF(J89&gt;=設定!$B$19,"◎ 有力",IF(J89&gt;=設定!$B$20,"○ 候補",IF(J89&gt;=3,"△ 要検討","× 見送り"))))</f>
        <v/>
      </c>
      <c r="L89" s="19" t="str">
        <f aca="false">IF(E89="","",IF(E89&gt;=設定!$B$14,"○","×"))</f>
        <v/>
      </c>
      <c r="M89" s="19" t="str">
        <f aca="false">IF(H89="","",IF(H89&lt;=設定!$B$15,"○","×"))</f>
        <v/>
      </c>
      <c r="N89" s="19" t="str">
        <f aca="false">IF(I89="","",IF(I89&gt;=設定!$B$16,"○","×"))</f>
        <v/>
      </c>
      <c r="O89" s="19" t="str">
        <f aca="false">IF(G89="","",IF(AND(G89&gt;=設定!$B$17,G89&lt;=設定!$B$18),"○","×"))</f>
        <v/>
      </c>
      <c r="P89" s="30" t="str">
        <f aca="false">IF(OR(B89="",D89=0),"",COUNTIFS(上位10件データ!$A:$A,$B89,上位10件データ!$H:$H,"はい")/D89)</f>
        <v/>
      </c>
      <c r="Q89" s="22"/>
    </row>
    <row r="90" customFormat="false" ht="15" hidden="false" customHeight="true" outlineLevel="0" collapsed="false">
      <c r="A90" s="19" t="str">
        <f aca="false">IF(B90="","",ROW()-1)</f>
        <v/>
      </c>
      <c r="B90" s="22"/>
      <c r="C90" s="9"/>
      <c r="D90" s="19" t="str">
        <f aca="false">IF(B90="","",COUNTIFS(上位10件データ!$A:$A,$B90))</f>
        <v/>
      </c>
      <c r="E90" s="28" t="str">
        <f aca="false">IF(OR(B90="",D90=0),"",AVERAGEIFS(上位10件データ!$G:$G,上位10件データ!$A:$A,$B90))</f>
        <v/>
      </c>
      <c r="F90" s="28" t="str">
        <f aca="false">IF(OR(B90="",D90=0),"",SUMIFS(上位10件データ!$G:$G,上位10件データ!$A:$A,$B90))</f>
        <v/>
      </c>
      <c r="G90" s="28" t="str">
        <f aca="false">IF(OR(B90="",D90=0),"",AVERAGEIFS(上位10件データ!$E:$E,上位10件データ!$A:$A,$B90))</f>
        <v/>
      </c>
      <c r="H90" s="19" t="str">
        <f aca="false">IF(OR(B90="",D90=0),"",COUNTIFS(上位10件データ!$A:$A,$B90,上位10件データ!$F:$F,"&gt;=1000"))</f>
        <v/>
      </c>
      <c r="I90" s="19" t="str">
        <f aca="false">IF(OR(B90="",D90=0),"",COUNTIFS(上位10件データ!$A:$A,$B90,上位10件データ!$F:$F,"&lt;100"))</f>
        <v/>
      </c>
      <c r="J90" s="19" t="str">
        <f aca="false">IF(E90="","",COUNTIF(L90:O90,"○")+IF(P90&gt;=0.5,1,0))</f>
        <v/>
      </c>
      <c r="K90" s="29" t="str">
        <f aca="false">IF(J90="","",IF(J90&gt;=設定!$B$19,"◎ 有力",IF(J90&gt;=設定!$B$20,"○ 候補",IF(J90&gt;=3,"△ 要検討","× 見送り"))))</f>
        <v/>
      </c>
      <c r="L90" s="19" t="str">
        <f aca="false">IF(E90="","",IF(E90&gt;=設定!$B$14,"○","×"))</f>
        <v/>
      </c>
      <c r="M90" s="19" t="str">
        <f aca="false">IF(H90="","",IF(H90&lt;=設定!$B$15,"○","×"))</f>
        <v/>
      </c>
      <c r="N90" s="19" t="str">
        <f aca="false">IF(I90="","",IF(I90&gt;=設定!$B$16,"○","×"))</f>
        <v/>
      </c>
      <c r="O90" s="19" t="str">
        <f aca="false">IF(G90="","",IF(AND(G90&gt;=設定!$B$17,G90&lt;=設定!$B$18),"○","×"))</f>
        <v/>
      </c>
      <c r="P90" s="30" t="str">
        <f aca="false">IF(OR(B90="",D90=0),"",COUNTIFS(上位10件データ!$A:$A,$B90,上位10件データ!$H:$H,"はい")/D90)</f>
        <v/>
      </c>
      <c r="Q90" s="22"/>
    </row>
    <row r="91" customFormat="false" ht="15" hidden="false" customHeight="true" outlineLevel="0" collapsed="false">
      <c r="A91" s="19" t="str">
        <f aca="false">IF(B91="","",ROW()-1)</f>
        <v/>
      </c>
      <c r="B91" s="22"/>
      <c r="C91" s="9"/>
      <c r="D91" s="19" t="str">
        <f aca="false">IF(B91="","",COUNTIFS(上位10件データ!$A:$A,$B91))</f>
        <v/>
      </c>
      <c r="E91" s="28" t="str">
        <f aca="false">IF(OR(B91="",D91=0),"",AVERAGEIFS(上位10件データ!$G:$G,上位10件データ!$A:$A,$B91))</f>
        <v/>
      </c>
      <c r="F91" s="28" t="str">
        <f aca="false">IF(OR(B91="",D91=0),"",SUMIFS(上位10件データ!$G:$G,上位10件データ!$A:$A,$B91))</f>
        <v/>
      </c>
      <c r="G91" s="28" t="str">
        <f aca="false">IF(OR(B91="",D91=0),"",AVERAGEIFS(上位10件データ!$E:$E,上位10件データ!$A:$A,$B91))</f>
        <v/>
      </c>
      <c r="H91" s="19" t="str">
        <f aca="false">IF(OR(B91="",D91=0),"",COUNTIFS(上位10件データ!$A:$A,$B91,上位10件データ!$F:$F,"&gt;=1000"))</f>
        <v/>
      </c>
      <c r="I91" s="19" t="str">
        <f aca="false">IF(OR(B91="",D91=0),"",COUNTIFS(上位10件データ!$A:$A,$B91,上位10件データ!$F:$F,"&lt;100"))</f>
        <v/>
      </c>
      <c r="J91" s="19" t="str">
        <f aca="false">IF(E91="","",COUNTIF(L91:O91,"○")+IF(P91&gt;=0.5,1,0))</f>
        <v/>
      </c>
      <c r="K91" s="29" t="str">
        <f aca="false">IF(J91="","",IF(J91&gt;=設定!$B$19,"◎ 有力",IF(J91&gt;=設定!$B$20,"○ 候補",IF(J91&gt;=3,"△ 要検討","× 見送り"))))</f>
        <v/>
      </c>
      <c r="L91" s="19" t="str">
        <f aca="false">IF(E91="","",IF(E91&gt;=設定!$B$14,"○","×"))</f>
        <v/>
      </c>
      <c r="M91" s="19" t="str">
        <f aca="false">IF(H91="","",IF(H91&lt;=設定!$B$15,"○","×"))</f>
        <v/>
      </c>
      <c r="N91" s="19" t="str">
        <f aca="false">IF(I91="","",IF(I91&gt;=設定!$B$16,"○","×"))</f>
        <v/>
      </c>
      <c r="O91" s="19" t="str">
        <f aca="false">IF(G91="","",IF(AND(G91&gt;=設定!$B$17,G91&lt;=設定!$B$18),"○","×"))</f>
        <v/>
      </c>
      <c r="P91" s="30" t="str">
        <f aca="false">IF(OR(B91="",D91=0),"",COUNTIFS(上位10件データ!$A:$A,$B91,上位10件データ!$H:$H,"はい")/D91)</f>
        <v/>
      </c>
      <c r="Q91" s="22"/>
    </row>
    <row r="92" customFormat="false" ht="15" hidden="false" customHeight="true" outlineLevel="0" collapsed="false">
      <c r="A92" s="19" t="str">
        <f aca="false">IF(B92="","",ROW()-1)</f>
        <v/>
      </c>
      <c r="B92" s="22"/>
      <c r="C92" s="9"/>
      <c r="D92" s="19" t="str">
        <f aca="false">IF(B92="","",COUNTIFS(上位10件データ!$A:$A,$B92))</f>
        <v/>
      </c>
      <c r="E92" s="28" t="str">
        <f aca="false">IF(OR(B92="",D92=0),"",AVERAGEIFS(上位10件データ!$G:$G,上位10件データ!$A:$A,$B92))</f>
        <v/>
      </c>
      <c r="F92" s="28" t="str">
        <f aca="false">IF(OR(B92="",D92=0),"",SUMIFS(上位10件データ!$G:$G,上位10件データ!$A:$A,$B92))</f>
        <v/>
      </c>
      <c r="G92" s="28" t="str">
        <f aca="false">IF(OR(B92="",D92=0),"",AVERAGEIFS(上位10件データ!$E:$E,上位10件データ!$A:$A,$B92))</f>
        <v/>
      </c>
      <c r="H92" s="19" t="str">
        <f aca="false">IF(OR(B92="",D92=0),"",COUNTIFS(上位10件データ!$A:$A,$B92,上位10件データ!$F:$F,"&gt;=1000"))</f>
        <v/>
      </c>
      <c r="I92" s="19" t="str">
        <f aca="false">IF(OR(B92="",D92=0),"",COUNTIFS(上位10件データ!$A:$A,$B92,上位10件データ!$F:$F,"&lt;100"))</f>
        <v/>
      </c>
      <c r="J92" s="19" t="str">
        <f aca="false">IF(E92="","",COUNTIF(L92:O92,"○")+IF(P92&gt;=0.5,1,0))</f>
        <v/>
      </c>
      <c r="K92" s="29" t="str">
        <f aca="false">IF(J92="","",IF(J92&gt;=設定!$B$19,"◎ 有力",IF(J92&gt;=設定!$B$20,"○ 候補",IF(J92&gt;=3,"△ 要検討","× 見送り"))))</f>
        <v/>
      </c>
      <c r="L92" s="19" t="str">
        <f aca="false">IF(E92="","",IF(E92&gt;=設定!$B$14,"○","×"))</f>
        <v/>
      </c>
      <c r="M92" s="19" t="str">
        <f aca="false">IF(H92="","",IF(H92&lt;=設定!$B$15,"○","×"))</f>
        <v/>
      </c>
      <c r="N92" s="19" t="str">
        <f aca="false">IF(I92="","",IF(I92&gt;=設定!$B$16,"○","×"))</f>
        <v/>
      </c>
      <c r="O92" s="19" t="str">
        <f aca="false">IF(G92="","",IF(AND(G92&gt;=設定!$B$17,G92&lt;=設定!$B$18),"○","×"))</f>
        <v/>
      </c>
      <c r="P92" s="30" t="str">
        <f aca="false">IF(OR(B92="",D92=0),"",COUNTIFS(上位10件データ!$A:$A,$B92,上位10件データ!$H:$H,"はい")/D92)</f>
        <v/>
      </c>
      <c r="Q92" s="22"/>
    </row>
    <row r="93" customFormat="false" ht="15" hidden="false" customHeight="true" outlineLevel="0" collapsed="false">
      <c r="A93" s="19" t="str">
        <f aca="false">IF(B93="","",ROW()-1)</f>
        <v/>
      </c>
      <c r="B93" s="22"/>
      <c r="C93" s="9"/>
      <c r="D93" s="19" t="str">
        <f aca="false">IF(B93="","",COUNTIFS(上位10件データ!$A:$A,$B93))</f>
        <v/>
      </c>
      <c r="E93" s="28" t="str">
        <f aca="false">IF(OR(B93="",D93=0),"",AVERAGEIFS(上位10件データ!$G:$G,上位10件データ!$A:$A,$B93))</f>
        <v/>
      </c>
      <c r="F93" s="28" t="str">
        <f aca="false">IF(OR(B93="",D93=0),"",SUMIFS(上位10件データ!$G:$G,上位10件データ!$A:$A,$B93))</f>
        <v/>
      </c>
      <c r="G93" s="28" t="str">
        <f aca="false">IF(OR(B93="",D93=0),"",AVERAGEIFS(上位10件データ!$E:$E,上位10件データ!$A:$A,$B93))</f>
        <v/>
      </c>
      <c r="H93" s="19" t="str">
        <f aca="false">IF(OR(B93="",D93=0),"",COUNTIFS(上位10件データ!$A:$A,$B93,上位10件データ!$F:$F,"&gt;=1000"))</f>
        <v/>
      </c>
      <c r="I93" s="19" t="str">
        <f aca="false">IF(OR(B93="",D93=0),"",COUNTIFS(上位10件データ!$A:$A,$B93,上位10件データ!$F:$F,"&lt;100"))</f>
        <v/>
      </c>
      <c r="J93" s="19" t="str">
        <f aca="false">IF(E93="","",COUNTIF(L93:O93,"○")+IF(P93&gt;=0.5,1,0))</f>
        <v/>
      </c>
      <c r="K93" s="29" t="str">
        <f aca="false">IF(J93="","",IF(J93&gt;=設定!$B$19,"◎ 有力",IF(J93&gt;=設定!$B$20,"○ 候補",IF(J93&gt;=3,"△ 要検討","× 見送り"))))</f>
        <v/>
      </c>
      <c r="L93" s="19" t="str">
        <f aca="false">IF(E93="","",IF(E93&gt;=設定!$B$14,"○","×"))</f>
        <v/>
      </c>
      <c r="M93" s="19" t="str">
        <f aca="false">IF(H93="","",IF(H93&lt;=設定!$B$15,"○","×"))</f>
        <v/>
      </c>
      <c r="N93" s="19" t="str">
        <f aca="false">IF(I93="","",IF(I93&gt;=設定!$B$16,"○","×"))</f>
        <v/>
      </c>
      <c r="O93" s="19" t="str">
        <f aca="false">IF(G93="","",IF(AND(G93&gt;=設定!$B$17,G93&lt;=設定!$B$18),"○","×"))</f>
        <v/>
      </c>
      <c r="P93" s="30" t="str">
        <f aca="false">IF(OR(B93="",D93=0),"",COUNTIFS(上位10件データ!$A:$A,$B93,上位10件データ!$H:$H,"はい")/D93)</f>
        <v/>
      </c>
      <c r="Q93" s="22"/>
    </row>
    <row r="94" customFormat="false" ht="15" hidden="false" customHeight="true" outlineLevel="0" collapsed="false">
      <c r="A94" s="19" t="str">
        <f aca="false">IF(B94="","",ROW()-1)</f>
        <v/>
      </c>
      <c r="B94" s="22"/>
      <c r="C94" s="9"/>
      <c r="D94" s="19" t="str">
        <f aca="false">IF(B94="","",COUNTIFS(上位10件データ!$A:$A,$B94))</f>
        <v/>
      </c>
      <c r="E94" s="28" t="str">
        <f aca="false">IF(OR(B94="",D94=0),"",AVERAGEIFS(上位10件データ!$G:$G,上位10件データ!$A:$A,$B94))</f>
        <v/>
      </c>
      <c r="F94" s="28" t="str">
        <f aca="false">IF(OR(B94="",D94=0),"",SUMIFS(上位10件データ!$G:$G,上位10件データ!$A:$A,$B94))</f>
        <v/>
      </c>
      <c r="G94" s="28" t="str">
        <f aca="false">IF(OR(B94="",D94=0),"",AVERAGEIFS(上位10件データ!$E:$E,上位10件データ!$A:$A,$B94))</f>
        <v/>
      </c>
      <c r="H94" s="19" t="str">
        <f aca="false">IF(OR(B94="",D94=0),"",COUNTIFS(上位10件データ!$A:$A,$B94,上位10件データ!$F:$F,"&gt;=1000"))</f>
        <v/>
      </c>
      <c r="I94" s="19" t="str">
        <f aca="false">IF(OR(B94="",D94=0),"",COUNTIFS(上位10件データ!$A:$A,$B94,上位10件データ!$F:$F,"&lt;100"))</f>
        <v/>
      </c>
      <c r="J94" s="19" t="str">
        <f aca="false">IF(E94="","",COUNTIF(L94:O94,"○")+IF(P94&gt;=0.5,1,0))</f>
        <v/>
      </c>
      <c r="K94" s="29" t="str">
        <f aca="false">IF(J94="","",IF(J94&gt;=設定!$B$19,"◎ 有力",IF(J94&gt;=設定!$B$20,"○ 候補",IF(J94&gt;=3,"△ 要検討","× 見送り"))))</f>
        <v/>
      </c>
      <c r="L94" s="19" t="str">
        <f aca="false">IF(E94="","",IF(E94&gt;=設定!$B$14,"○","×"))</f>
        <v/>
      </c>
      <c r="M94" s="19" t="str">
        <f aca="false">IF(H94="","",IF(H94&lt;=設定!$B$15,"○","×"))</f>
        <v/>
      </c>
      <c r="N94" s="19" t="str">
        <f aca="false">IF(I94="","",IF(I94&gt;=設定!$B$16,"○","×"))</f>
        <v/>
      </c>
      <c r="O94" s="19" t="str">
        <f aca="false">IF(G94="","",IF(AND(G94&gt;=設定!$B$17,G94&lt;=設定!$B$18),"○","×"))</f>
        <v/>
      </c>
      <c r="P94" s="30" t="str">
        <f aca="false">IF(OR(B94="",D94=0),"",COUNTIFS(上位10件データ!$A:$A,$B94,上位10件データ!$H:$H,"はい")/D94)</f>
        <v/>
      </c>
      <c r="Q94" s="22"/>
    </row>
    <row r="95" customFormat="false" ht="15" hidden="false" customHeight="true" outlineLevel="0" collapsed="false">
      <c r="A95" s="19" t="str">
        <f aca="false">IF(B95="","",ROW()-1)</f>
        <v/>
      </c>
      <c r="B95" s="22"/>
      <c r="C95" s="9"/>
      <c r="D95" s="19" t="str">
        <f aca="false">IF(B95="","",COUNTIFS(上位10件データ!$A:$A,$B95))</f>
        <v/>
      </c>
      <c r="E95" s="28" t="str">
        <f aca="false">IF(OR(B95="",D95=0),"",AVERAGEIFS(上位10件データ!$G:$G,上位10件データ!$A:$A,$B95))</f>
        <v/>
      </c>
      <c r="F95" s="28" t="str">
        <f aca="false">IF(OR(B95="",D95=0),"",SUMIFS(上位10件データ!$G:$G,上位10件データ!$A:$A,$B95))</f>
        <v/>
      </c>
      <c r="G95" s="28" t="str">
        <f aca="false">IF(OR(B95="",D95=0),"",AVERAGEIFS(上位10件データ!$E:$E,上位10件データ!$A:$A,$B95))</f>
        <v/>
      </c>
      <c r="H95" s="19" t="str">
        <f aca="false">IF(OR(B95="",D95=0),"",COUNTIFS(上位10件データ!$A:$A,$B95,上位10件データ!$F:$F,"&gt;=1000"))</f>
        <v/>
      </c>
      <c r="I95" s="19" t="str">
        <f aca="false">IF(OR(B95="",D95=0),"",COUNTIFS(上位10件データ!$A:$A,$B95,上位10件データ!$F:$F,"&lt;100"))</f>
        <v/>
      </c>
      <c r="J95" s="19" t="str">
        <f aca="false">IF(E95="","",COUNTIF(L95:O95,"○")+IF(P95&gt;=0.5,1,0))</f>
        <v/>
      </c>
      <c r="K95" s="29" t="str">
        <f aca="false">IF(J95="","",IF(J95&gt;=設定!$B$19,"◎ 有力",IF(J95&gt;=設定!$B$20,"○ 候補",IF(J95&gt;=3,"△ 要検討","× 見送り"))))</f>
        <v/>
      </c>
      <c r="L95" s="19" t="str">
        <f aca="false">IF(E95="","",IF(E95&gt;=設定!$B$14,"○","×"))</f>
        <v/>
      </c>
      <c r="M95" s="19" t="str">
        <f aca="false">IF(H95="","",IF(H95&lt;=設定!$B$15,"○","×"))</f>
        <v/>
      </c>
      <c r="N95" s="19" t="str">
        <f aca="false">IF(I95="","",IF(I95&gt;=設定!$B$16,"○","×"))</f>
        <v/>
      </c>
      <c r="O95" s="19" t="str">
        <f aca="false">IF(G95="","",IF(AND(G95&gt;=設定!$B$17,G95&lt;=設定!$B$18),"○","×"))</f>
        <v/>
      </c>
      <c r="P95" s="30" t="str">
        <f aca="false">IF(OR(B95="",D95=0),"",COUNTIFS(上位10件データ!$A:$A,$B95,上位10件データ!$H:$H,"はい")/D95)</f>
        <v/>
      </c>
      <c r="Q95" s="22"/>
    </row>
    <row r="96" customFormat="false" ht="15" hidden="false" customHeight="true" outlineLevel="0" collapsed="false">
      <c r="A96" s="19" t="str">
        <f aca="false">IF(B96="","",ROW()-1)</f>
        <v/>
      </c>
      <c r="B96" s="22"/>
      <c r="C96" s="9"/>
      <c r="D96" s="19" t="str">
        <f aca="false">IF(B96="","",COUNTIFS(上位10件データ!$A:$A,$B96))</f>
        <v/>
      </c>
      <c r="E96" s="28" t="str">
        <f aca="false">IF(OR(B96="",D96=0),"",AVERAGEIFS(上位10件データ!$G:$G,上位10件データ!$A:$A,$B96))</f>
        <v/>
      </c>
      <c r="F96" s="28" t="str">
        <f aca="false">IF(OR(B96="",D96=0),"",SUMIFS(上位10件データ!$G:$G,上位10件データ!$A:$A,$B96))</f>
        <v/>
      </c>
      <c r="G96" s="28" t="str">
        <f aca="false">IF(OR(B96="",D96=0),"",AVERAGEIFS(上位10件データ!$E:$E,上位10件データ!$A:$A,$B96))</f>
        <v/>
      </c>
      <c r="H96" s="19" t="str">
        <f aca="false">IF(OR(B96="",D96=0),"",COUNTIFS(上位10件データ!$A:$A,$B96,上位10件データ!$F:$F,"&gt;=1000"))</f>
        <v/>
      </c>
      <c r="I96" s="19" t="str">
        <f aca="false">IF(OR(B96="",D96=0),"",COUNTIFS(上位10件データ!$A:$A,$B96,上位10件データ!$F:$F,"&lt;100"))</f>
        <v/>
      </c>
      <c r="J96" s="19" t="str">
        <f aca="false">IF(E96="","",COUNTIF(L96:O96,"○")+IF(P96&gt;=0.5,1,0))</f>
        <v/>
      </c>
      <c r="K96" s="29" t="str">
        <f aca="false">IF(J96="","",IF(J96&gt;=設定!$B$19,"◎ 有力",IF(J96&gt;=設定!$B$20,"○ 候補",IF(J96&gt;=3,"△ 要検討","× 見送り"))))</f>
        <v/>
      </c>
      <c r="L96" s="19" t="str">
        <f aca="false">IF(E96="","",IF(E96&gt;=設定!$B$14,"○","×"))</f>
        <v/>
      </c>
      <c r="M96" s="19" t="str">
        <f aca="false">IF(H96="","",IF(H96&lt;=設定!$B$15,"○","×"))</f>
        <v/>
      </c>
      <c r="N96" s="19" t="str">
        <f aca="false">IF(I96="","",IF(I96&gt;=設定!$B$16,"○","×"))</f>
        <v/>
      </c>
      <c r="O96" s="19" t="str">
        <f aca="false">IF(G96="","",IF(AND(G96&gt;=設定!$B$17,G96&lt;=設定!$B$18),"○","×"))</f>
        <v/>
      </c>
      <c r="P96" s="30" t="str">
        <f aca="false">IF(OR(B96="",D96=0),"",COUNTIFS(上位10件データ!$A:$A,$B96,上位10件データ!$H:$H,"はい")/D96)</f>
        <v/>
      </c>
      <c r="Q96" s="22"/>
    </row>
    <row r="97" customFormat="false" ht="15" hidden="false" customHeight="true" outlineLevel="0" collapsed="false">
      <c r="A97" s="19" t="str">
        <f aca="false">IF(B97="","",ROW()-1)</f>
        <v/>
      </c>
      <c r="B97" s="22"/>
      <c r="C97" s="9"/>
      <c r="D97" s="19" t="str">
        <f aca="false">IF(B97="","",COUNTIFS(上位10件データ!$A:$A,$B97))</f>
        <v/>
      </c>
      <c r="E97" s="28" t="str">
        <f aca="false">IF(OR(B97="",D97=0),"",AVERAGEIFS(上位10件データ!$G:$G,上位10件データ!$A:$A,$B97))</f>
        <v/>
      </c>
      <c r="F97" s="28" t="str">
        <f aca="false">IF(OR(B97="",D97=0),"",SUMIFS(上位10件データ!$G:$G,上位10件データ!$A:$A,$B97))</f>
        <v/>
      </c>
      <c r="G97" s="28" t="str">
        <f aca="false">IF(OR(B97="",D97=0),"",AVERAGEIFS(上位10件データ!$E:$E,上位10件データ!$A:$A,$B97))</f>
        <v/>
      </c>
      <c r="H97" s="19" t="str">
        <f aca="false">IF(OR(B97="",D97=0),"",COUNTIFS(上位10件データ!$A:$A,$B97,上位10件データ!$F:$F,"&gt;=1000"))</f>
        <v/>
      </c>
      <c r="I97" s="19" t="str">
        <f aca="false">IF(OR(B97="",D97=0),"",COUNTIFS(上位10件データ!$A:$A,$B97,上位10件データ!$F:$F,"&lt;100"))</f>
        <v/>
      </c>
      <c r="J97" s="19" t="str">
        <f aca="false">IF(E97="","",COUNTIF(L97:O97,"○")+IF(P97&gt;=0.5,1,0))</f>
        <v/>
      </c>
      <c r="K97" s="29" t="str">
        <f aca="false">IF(J97="","",IF(J97&gt;=設定!$B$19,"◎ 有力",IF(J97&gt;=設定!$B$20,"○ 候補",IF(J97&gt;=3,"△ 要検討","× 見送り"))))</f>
        <v/>
      </c>
      <c r="L97" s="19" t="str">
        <f aca="false">IF(E97="","",IF(E97&gt;=設定!$B$14,"○","×"))</f>
        <v/>
      </c>
      <c r="M97" s="19" t="str">
        <f aca="false">IF(H97="","",IF(H97&lt;=設定!$B$15,"○","×"))</f>
        <v/>
      </c>
      <c r="N97" s="19" t="str">
        <f aca="false">IF(I97="","",IF(I97&gt;=設定!$B$16,"○","×"))</f>
        <v/>
      </c>
      <c r="O97" s="19" t="str">
        <f aca="false">IF(G97="","",IF(AND(G97&gt;=設定!$B$17,G97&lt;=設定!$B$18),"○","×"))</f>
        <v/>
      </c>
      <c r="P97" s="30" t="str">
        <f aca="false">IF(OR(B97="",D97=0),"",COUNTIFS(上位10件データ!$A:$A,$B97,上位10件データ!$H:$H,"はい")/D97)</f>
        <v/>
      </c>
      <c r="Q97" s="22"/>
    </row>
    <row r="98" customFormat="false" ht="15" hidden="false" customHeight="true" outlineLevel="0" collapsed="false">
      <c r="A98" s="19" t="str">
        <f aca="false">IF(B98="","",ROW()-1)</f>
        <v/>
      </c>
      <c r="B98" s="22"/>
      <c r="C98" s="9"/>
      <c r="D98" s="19" t="str">
        <f aca="false">IF(B98="","",COUNTIFS(上位10件データ!$A:$A,$B98))</f>
        <v/>
      </c>
      <c r="E98" s="28" t="str">
        <f aca="false">IF(OR(B98="",D98=0),"",AVERAGEIFS(上位10件データ!$G:$G,上位10件データ!$A:$A,$B98))</f>
        <v/>
      </c>
      <c r="F98" s="28" t="str">
        <f aca="false">IF(OR(B98="",D98=0),"",SUMIFS(上位10件データ!$G:$G,上位10件データ!$A:$A,$B98))</f>
        <v/>
      </c>
      <c r="G98" s="28" t="str">
        <f aca="false">IF(OR(B98="",D98=0),"",AVERAGEIFS(上位10件データ!$E:$E,上位10件データ!$A:$A,$B98))</f>
        <v/>
      </c>
      <c r="H98" s="19" t="str">
        <f aca="false">IF(OR(B98="",D98=0),"",COUNTIFS(上位10件データ!$A:$A,$B98,上位10件データ!$F:$F,"&gt;=1000"))</f>
        <v/>
      </c>
      <c r="I98" s="19" t="str">
        <f aca="false">IF(OR(B98="",D98=0),"",COUNTIFS(上位10件データ!$A:$A,$B98,上位10件データ!$F:$F,"&lt;100"))</f>
        <v/>
      </c>
      <c r="J98" s="19" t="str">
        <f aca="false">IF(E98="","",COUNTIF(L98:O98,"○")+IF(P98&gt;=0.5,1,0))</f>
        <v/>
      </c>
      <c r="K98" s="29" t="str">
        <f aca="false">IF(J98="","",IF(J98&gt;=設定!$B$19,"◎ 有力",IF(J98&gt;=設定!$B$20,"○ 候補",IF(J98&gt;=3,"△ 要検討","× 見送り"))))</f>
        <v/>
      </c>
      <c r="L98" s="19" t="str">
        <f aca="false">IF(E98="","",IF(E98&gt;=設定!$B$14,"○","×"))</f>
        <v/>
      </c>
      <c r="M98" s="19" t="str">
        <f aca="false">IF(H98="","",IF(H98&lt;=設定!$B$15,"○","×"))</f>
        <v/>
      </c>
      <c r="N98" s="19" t="str">
        <f aca="false">IF(I98="","",IF(I98&gt;=設定!$B$16,"○","×"))</f>
        <v/>
      </c>
      <c r="O98" s="19" t="str">
        <f aca="false">IF(G98="","",IF(AND(G98&gt;=設定!$B$17,G98&lt;=設定!$B$18),"○","×"))</f>
        <v/>
      </c>
      <c r="P98" s="30" t="str">
        <f aca="false">IF(OR(B98="",D98=0),"",COUNTIFS(上位10件データ!$A:$A,$B98,上位10件データ!$H:$H,"はい")/D98)</f>
        <v/>
      </c>
      <c r="Q98" s="22"/>
    </row>
    <row r="99" customFormat="false" ht="15" hidden="false" customHeight="true" outlineLevel="0" collapsed="false">
      <c r="A99" s="19" t="str">
        <f aca="false">IF(B99="","",ROW()-1)</f>
        <v/>
      </c>
      <c r="B99" s="22"/>
      <c r="C99" s="9"/>
      <c r="D99" s="19" t="str">
        <f aca="false">IF(B99="","",COUNTIFS(上位10件データ!$A:$A,$B99))</f>
        <v/>
      </c>
      <c r="E99" s="28" t="str">
        <f aca="false">IF(OR(B99="",D99=0),"",AVERAGEIFS(上位10件データ!$G:$G,上位10件データ!$A:$A,$B99))</f>
        <v/>
      </c>
      <c r="F99" s="28" t="str">
        <f aca="false">IF(OR(B99="",D99=0),"",SUMIFS(上位10件データ!$G:$G,上位10件データ!$A:$A,$B99))</f>
        <v/>
      </c>
      <c r="G99" s="28" t="str">
        <f aca="false">IF(OR(B99="",D99=0),"",AVERAGEIFS(上位10件データ!$E:$E,上位10件データ!$A:$A,$B99))</f>
        <v/>
      </c>
      <c r="H99" s="19" t="str">
        <f aca="false">IF(OR(B99="",D99=0),"",COUNTIFS(上位10件データ!$A:$A,$B99,上位10件データ!$F:$F,"&gt;=1000"))</f>
        <v/>
      </c>
      <c r="I99" s="19" t="str">
        <f aca="false">IF(OR(B99="",D99=0),"",COUNTIFS(上位10件データ!$A:$A,$B99,上位10件データ!$F:$F,"&lt;100"))</f>
        <v/>
      </c>
      <c r="J99" s="19" t="str">
        <f aca="false">IF(E99="","",COUNTIF(L99:O99,"○")+IF(P99&gt;=0.5,1,0))</f>
        <v/>
      </c>
      <c r="K99" s="29" t="str">
        <f aca="false">IF(J99="","",IF(J99&gt;=設定!$B$19,"◎ 有力",IF(J99&gt;=設定!$B$20,"○ 候補",IF(J99&gt;=3,"△ 要検討","× 見送り"))))</f>
        <v/>
      </c>
      <c r="L99" s="19" t="str">
        <f aca="false">IF(E99="","",IF(E99&gt;=設定!$B$14,"○","×"))</f>
        <v/>
      </c>
      <c r="M99" s="19" t="str">
        <f aca="false">IF(H99="","",IF(H99&lt;=設定!$B$15,"○","×"))</f>
        <v/>
      </c>
      <c r="N99" s="19" t="str">
        <f aca="false">IF(I99="","",IF(I99&gt;=設定!$B$16,"○","×"))</f>
        <v/>
      </c>
      <c r="O99" s="19" t="str">
        <f aca="false">IF(G99="","",IF(AND(G99&gt;=設定!$B$17,G99&lt;=設定!$B$18),"○","×"))</f>
        <v/>
      </c>
      <c r="P99" s="30" t="str">
        <f aca="false">IF(OR(B99="",D99=0),"",COUNTIFS(上位10件データ!$A:$A,$B99,上位10件データ!$H:$H,"はい")/D99)</f>
        <v/>
      </c>
      <c r="Q99" s="22"/>
    </row>
    <row r="100" customFormat="false" ht="15" hidden="false" customHeight="true" outlineLevel="0" collapsed="false">
      <c r="A100" s="19" t="str">
        <f aca="false">IF(B100="","",ROW()-1)</f>
        <v/>
      </c>
      <c r="B100" s="22"/>
      <c r="C100" s="9"/>
      <c r="D100" s="19" t="str">
        <f aca="false">IF(B100="","",COUNTIFS(上位10件データ!$A:$A,$B100))</f>
        <v/>
      </c>
      <c r="E100" s="28" t="str">
        <f aca="false">IF(OR(B100="",D100=0),"",AVERAGEIFS(上位10件データ!$G:$G,上位10件データ!$A:$A,$B100))</f>
        <v/>
      </c>
      <c r="F100" s="28" t="str">
        <f aca="false">IF(OR(B100="",D100=0),"",SUMIFS(上位10件データ!$G:$G,上位10件データ!$A:$A,$B100))</f>
        <v/>
      </c>
      <c r="G100" s="28" t="str">
        <f aca="false">IF(OR(B100="",D100=0),"",AVERAGEIFS(上位10件データ!$E:$E,上位10件データ!$A:$A,$B100))</f>
        <v/>
      </c>
      <c r="H100" s="19" t="str">
        <f aca="false">IF(OR(B100="",D100=0),"",COUNTIFS(上位10件データ!$A:$A,$B100,上位10件データ!$F:$F,"&gt;=1000"))</f>
        <v/>
      </c>
      <c r="I100" s="19" t="str">
        <f aca="false">IF(OR(B100="",D100=0),"",COUNTIFS(上位10件データ!$A:$A,$B100,上位10件データ!$F:$F,"&lt;100"))</f>
        <v/>
      </c>
      <c r="J100" s="19" t="str">
        <f aca="false">IF(E100="","",COUNTIF(L100:O100,"○")+IF(P100&gt;=0.5,1,0))</f>
        <v/>
      </c>
      <c r="K100" s="29" t="str">
        <f aca="false">IF(J100="","",IF(J100&gt;=設定!$B$19,"◎ 有力",IF(J100&gt;=設定!$B$20,"○ 候補",IF(J100&gt;=3,"△ 要検討","× 見送り"))))</f>
        <v/>
      </c>
      <c r="L100" s="19" t="str">
        <f aca="false">IF(E100="","",IF(E100&gt;=設定!$B$14,"○","×"))</f>
        <v/>
      </c>
      <c r="M100" s="19" t="str">
        <f aca="false">IF(H100="","",IF(H100&lt;=設定!$B$15,"○","×"))</f>
        <v/>
      </c>
      <c r="N100" s="19" t="str">
        <f aca="false">IF(I100="","",IF(I100&gt;=設定!$B$16,"○","×"))</f>
        <v/>
      </c>
      <c r="O100" s="19" t="str">
        <f aca="false">IF(G100="","",IF(AND(G100&gt;=設定!$B$17,G100&lt;=設定!$B$18),"○","×"))</f>
        <v/>
      </c>
      <c r="P100" s="30" t="str">
        <f aca="false">IF(OR(B100="",D100=0),"",COUNTIFS(上位10件データ!$A:$A,$B100,上位10件データ!$H:$H,"はい")/D100)</f>
        <v/>
      </c>
      <c r="Q100" s="22"/>
    </row>
    <row r="101" customFormat="false" ht="15" hidden="false" customHeight="true" outlineLevel="0" collapsed="false">
      <c r="A101" s="19" t="str">
        <f aca="false">IF(B101="","",ROW()-1)</f>
        <v/>
      </c>
      <c r="B101" s="22"/>
      <c r="C101" s="9"/>
      <c r="D101" s="19" t="str">
        <f aca="false">IF(B101="","",COUNTIFS(上位10件データ!$A:$A,$B101))</f>
        <v/>
      </c>
      <c r="E101" s="28" t="str">
        <f aca="false">IF(OR(B101="",D101=0),"",AVERAGEIFS(上位10件データ!$G:$G,上位10件データ!$A:$A,$B101))</f>
        <v/>
      </c>
      <c r="F101" s="28" t="str">
        <f aca="false">IF(OR(B101="",D101=0),"",SUMIFS(上位10件データ!$G:$G,上位10件データ!$A:$A,$B101))</f>
        <v/>
      </c>
      <c r="G101" s="28" t="str">
        <f aca="false">IF(OR(B101="",D101=0),"",AVERAGEIFS(上位10件データ!$E:$E,上位10件データ!$A:$A,$B101))</f>
        <v/>
      </c>
      <c r="H101" s="19" t="str">
        <f aca="false">IF(OR(B101="",D101=0),"",COUNTIFS(上位10件データ!$A:$A,$B101,上位10件データ!$F:$F,"&gt;=1000"))</f>
        <v/>
      </c>
      <c r="I101" s="19" t="str">
        <f aca="false">IF(OR(B101="",D101=0),"",COUNTIFS(上位10件データ!$A:$A,$B101,上位10件データ!$F:$F,"&lt;100"))</f>
        <v/>
      </c>
      <c r="J101" s="19" t="str">
        <f aca="false">IF(E101="","",COUNTIF(L101:O101,"○")+IF(P101&gt;=0.5,1,0))</f>
        <v/>
      </c>
      <c r="K101" s="29" t="str">
        <f aca="false">IF(J101="","",IF(J101&gt;=設定!$B$19,"◎ 有力",IF(J101&gt;=設定!$B$20,"○ 候補",IF(J101&gt;=3,"△ 要検討","× 見送り"))))</f>
        <v/>
      </c>
      <c r="L101" s="19" t="str">
        <f aca="false">IF(E101="","",IF(E101&gt;=設定!$B$14,"○","×"))</f>
        <v/>
      </c>
      <c r="M101" s="19" t="str">
        <f aca="false">IF(H101="","",IF(H101&lt;=設定!$B$15,"○","×"))</f>
        <v/>
      </c>
      <c r="N101" s="19" t="str">
        <f aca="false">IF(I101="","",IF(I101&gt;=設定!$B$16,"○","×"))</f>
        <v/>
      </c>
      <c r="O101" s="19" t="str">
        <f aca="false">IF(G101="","",IF(AND(G101&gt;=設定!$B$17,G101&lt;=設定!$B$18),"○","×"))</f>
        <v/>
      </c>
      <c r="P101" s="30" t="str">
        <f aca="false">IF(OR(B101="",D101=0),"",COUNTIFS(上位10件データ!$A:$A,$B101,上位10件データ!$H:$H,"はい")/D101)</f>
        <v/>
      </c>
      <c r="Q101" s="22"/>
    </row>
    <row r="102" customFormat="false" ht="15" hidden="false" customHeight="true" outlineLevel="0" collapsed="false">
      <c r="A102" s="19" t="str">
        <f aca="false">IF(B102="","",ROW()-1)</f>
        <v/>
      </c>
      <c r="B102" s="22"/>
      <c r="C102" s="9"/>
      <c r="D102" s="19" t="str">
        <f aca="false">IF(B102="","",COUNTIFS(上位10件データ!$A:$A,$B102))</f>
        <v/>
      </c>
      <c r="E102" s="28" t="str">
        <f aca="false">IF(OR(B102="",D102=0),"",AVERAGEIFS(上位10件データ!$G:$G,上位10件データ!$A:$A,$B102))</f>
        <v/>
      </c>
      <c r="F102" s="28" t="str">
        <f aca="false">IF(OR(B102="",D102=0),"",SUMIFS(上位10件データ!$G:$G,上位10件データ!$A:$A,$B102))</f>
        <v/>
      </c>
      <c r="G102" s="28" t="str">
        <f aca="false">IF(OR(B102="",D102=0),"",AVERAGEIFS(上位10件データ!$E:$E,上位10件データ!$A:$A,$B102))</f>
        <v/>
      </c>
      <c r="H102" s="19" t="str">
        <f aca="false">IF(OR(B102="",D102=0),"",COUNTIFS(上位10件データ!$A:$A,$B102,上位10件データ!$F:$F,"&gt;=1000"))</f>
        <v/>
      </c>
      <c r="I102" s="19" t="str">
        <f aca="false">IF(OR(B102="",D102=0),"",COUNTIFS(上位10件データ!$A:$A,$B102,上位10件データ!$F:$F,"&lt;100"))</f>
        <v/>
      </c>
      <c r="J102" s="19" t="str">
        <f aca="false">IF(E102="","",COUNTIF(L102:O102,"○")+IF(P102&gt;=0.5,1,0))</f>
        <v/>
      </c>
      <c r="K102" s="29" t="str">
        <f aca="false">IF(J102="","",IF(J102&gt;=設定!$B$19,"◎ 有力",IF(J102&gt;=設定!$B$20,"○ 候補",IF(J102&gt;=3,"△ 要検討","× 見送り"))))</f>
        <v/>
      </c>
      <c r="L102" s="19" t="str">
        <f aca="false">IF(E102="","",IF(E102&gt;=設定!$B$14,"○","×"))</f>
        <v/>
      </c>
      <c r="M102" s="19" t="str">
        <f aca="false">IF(H102="","",IF(H102&lt;=設定!$B$15,"○","×"))</f>
        <v/>
      </c>
      <c r="N102" s="19" t="str">
        <f aca="false">IF(I102="","",IF(I102&gt;=設定!$B$16,"○","×"))</f>
        <v/>
      </c>
      <c r="O102" s="19" t="str">
        <f aca="false">IF(G102="","",IF(AND(G102&gt;=設定!$B$17,G102&lt;=設定!$B$18),"○","×"))</f>
        <v/>
      </c>
      <c r="P102" s="30" t="str">
        <f aca="false">IF(OR(B102="",D102=0),"",COUNTIFS(上位10件データ!$A:$A,$B102,上位10件データ!$H:$H,"はい")/D102)</f>
        <v/>
      </c>
      <c r="Q102" s="22"/>
    </row>
    <row r="103" customFormat="false" ht="15" hidden="false" customHeight="true" outlineLevel="0" collapsed="false">
      <c r="A103" s="19" t="str">
        <f aca="false">IF(B103="","",ROW()-1)</f>
        <v/>
      </c>
      <c r="B103" s="22"/>
      <c r="C103" s="9"/>
      <c r="D103" s="19" t="str">
        <f aca="false">IF(B103="","",COUNTIFS(上位10件データ!$A:$A,$B103))</f>
        <v/>
      </c>
      <c r="E103" s="28" t="str">
        <f aca="false">IF(OR(B103="",D103=0),"",AVERAGEIFS(上位10件データ!$G:$G,上位10件データ!$A:$A,$B103))</f>
        <v/>
      </c>
      <c r="F103" s="28" t="str">
        <f aca="false">IF(OR(B103="",D103=0),"",SUMIFS(上位10件データ!$G:$G,上位10件データ!$A:$A,$B103))</f>
        <v/>
      </c>
      <c r="G103" s="28" t="str">
        <f aca="false">IF(OR(B103="",D103=0),"",AVERAGEIFS(上位10件データ!$E:$E,上位10件データ!$A:$A,$B103))</f>
        <v/>
      </c>
      <c r="H103" s="19" t="str">
        <f aca="false">IF(OR(B103="",D103=0),"",COUNTIFS(上位10件データ!$A:$A,$B103,上位10件データ!$F:$F,"&gt;=1000"))</f>
        <v/>
      </c>
      <c r="I103" s="19" t="str">
        <f aca="false">IF(OR(B103="",D103=0),"",COUNTIFS(上位10件データ!$A:$A,$B103,上位10件データ!$F:$F,"&lt;100"))</f>
        <v/>
      </c>
      <c r="J103" s="19" t="str">
        <f aca="false">IF(E103="","",COUNTIF(L103:O103,"○")+IF(P103&gt;=0.5,1,0))</f>
        <v/>
      </c>
      <c r="K103" s="29" t="str">
        <f aca="false">IF(J103="","",IF(J103&gt;=設定!$B$19,"◎ 有力",IF(J103&gt;=設定!$B$20,"○ 候補",IF(J103&gt;=3,"△ 要検討","× 見送り"))))</f>
        <v/>
      </c>
      <c r="L103" s="19" t="str">
        <f aca="false">IF(E103="","",IF(E103&gt;=設定!$B$14,"○","×"))</f>
        <v/>
      </c>
      <c r="M103" s="19" t="str">
        <f aca="false">IF(H103="","",IF(H103&lt;=設定!$B$15,"○","×"))</f>
        <v/>
      </c>
      <c r="N103" s="19" t="str">
        <f aca="false">IF(I103="","",IF(I103&gt;=設定!$B$16,"○","×"))</f>
        <v/>
      </c>
      <c r="O103" s="19" t="str">
        <f aca="false">IF(G103="","",IF(AND(G103&gt;=設定!$B$17,G103&lt;=設定!$B$18),"○","×"))</f>
        <v/>
      </c>
      <c r="P103" s="30" t="str">
        <f aca="false">IF(OR(B103="",D103=0),"",COUNTIFS(上位10件データ!$A:$A,$B103,上位10件データ!$H:$H,"はい")/D103)</f>
        <v/>
      </c>
      <c r="Q103" s="22"/>
    </row>
    <row r="104" customFormat="false" ht="15" hidden="false" customHeight="true" outlineLevel="0" collapsed="false">
      <c r="A104" s="19" t="str">
        <f aca="false">IF(B104="","",ROW()-1)</f>
        <v/>
      </c>
      <c r="B104" s="22"/>
      <c r="C104" s="9"/>
      <c r="D104" s="19" t="str">
        <f aca="false">IF(B104="","",COUNTIFS(上位10件データ!$A:$A,$B104))</f>
        <v/>
      </c>
      <c r="E104" s="28" t="str">
        <f aca="false">IF(OR(B104="",D104=0),"",AVERAGEIFS(上位10件データ!$G:$G,上位10件データ!$A:$A,$B104))</f>
        <v/>
      </c>
      <c r="F104" s="28" t="str">
        <f aca="false">IF(OR(B104="",D104=0),"",SUMIFS(上位10件データ!$G:$G,上位10件データ!$A:$A,$B104))</f>
        <v/>
      </c>
      <c r="G104" s="28" t="str">
        <f aca="false">IF(OR(B104="",D104=0),"",AVERAGEIFS(上位10件データ!$E:$E,上位10件データ!$A:$A,$B104))</f>
        <v/>
      </c>
      <c r="H104" s="19" t="str">
        <f aca="false">IF(OR(B104="",D104=0),"",COUNTIFS(上位10件データ!$A:$A,$B104,上位10件データ!$F:$F,"&gt;=1000"))</f>
        <v/>
      </c>
      <c r="I104" s="19" t="str">
        <f aca="false">IF(OR(B104="",D104=0),"",COUNTIFS(上位10件データ!$A:$A,$B104,上位10件データ!$F:$F,"&lt;100"))</f>
        <v/>
      </c>
      <c r="J104" s="19" t="str">
        <f aca="false">IF(E104="","",COUNTIF(L104:O104,"○")+IF(P104&gt;=0.5,1,0))</f>
        <v/>
      </c>
      <c r="K104" s="29" t="str">
        <f aca="false">IF(J104="","",IF(J104&gt;=設定!$B$19,"◎ 有力",IF(J104&gt;=設定!$B$20,"○ 候補",IF(J104&gt;=3,"△ 要検討","× 見送り"))))</f>
        <v/>
      </c>
      <c r="L104" s="19" t="str">
        <f aca="false">IF(E104="","",IF(E104&gt;=設定!$B$14,"○","×"))</f>
        <v/>
      </c>
      <c r="M104" s="19" t="str">
        <f aca="false">IF(H104="","",IF(H104&lt;=設定!$B$15,"○","×"))</f>
        <v/>
      </c>
      <c r="N104" s="19" t="str">
        <f aca="false">IF(I104="","",IF(I104&gt;=設定!$B$16,"○","×"))</f>
        <v/>
      </c>
      <c r="O104" s="19" t="str">
        <f aca="false">IF(G104="","",IF(AND(G104&gt;=設定!$B$17,G104&lt;=設定!$B$18),"○","×"))</f>
        <v/>
      </c>
      <c r="P104" s="30" t="str">
        <f aca="false">IF(OR(B104="",D104=0),"",COUNTIFS(上位10件データ!$A:$A,$B104,上位10件データ!$H:$H,"はい")/D104)</f>
        <v/>
      </c>
      <c r="Q104" s="22"/>
    </row>
    <row r="105" customFormat="false" ht="15" hidden="false" customHeight="true" outlineLevel="0" collapsed="false">
      <c r="A105" s="19" t="str">
        <f aca="false">IF(B105="","",ROW()-1)</f>
        <v/>
      </c>
      <c r="B105" s="22"/>
      <c r="C105" s="9"/>
      <c r="D105" s="19" t="str">
        <f aca="false">IF(B105="","",COUNTIFS(上位10件データ!$A:$A,$B105))</f>
        <v/>
      </c>
      <c r="E105" s="28" t="str">
        <f aca="false">IF(OR(B105="",D105=0),"",AVERAGEIFS(上位10件データ!$G:$G,上位10件データ!$A:$A,$B105))</f>
        <v/>
      </c>
      <c r="F105" s="28" t="str">
        <f aca="false">IF(OR(B105="",D105=0),"",SUMIFS(上位10件データ!$G:$G,上位10件データ!$A:$A,$B105))</f>
        <v/>
      </c>
      <c r="G105" s="28" t="str">
        <f aca="false">IF(OR(B105="",D105=0),"",AVERAGEIFS(上位10件データ!$E:$E,上位10件データ!$A:$A,$B105))</f>
        <v/>
      </c>
      <c r="H105" s="19" t="str">
        <f aca="false">IF(OR(B105="",D105=0),"",COUNTIFS(上位10件データ!$A:$A,$B105,上位10件データ!$F:$F,"&gt;=1000"))</f>
        <v/>
      </c>
      <c r="I105" s="19" t="str">
        <f aca="false">IF(OR(B105="",D105=0),"",COUNTIFS(上位10件データ!$A:$A,$B105,上位10件データ!$F:$F,"&lt;100"))</f>
        <v/>
      </c>
      <c r="J105" s="19" t="str">
        <f aca="false">IF(E105="","",COUNTIF(L105:O105,"○")+IF(P105&gt;=0.5,1,0))</f>
        <v/>
      </c>
      <c r="K105" s="29" t="str">
        <f aca="false">IF(J105="","",IF(J105&gt;=設定!$B$19,"◎ 有力",IF(J105&gt;=設定!$B$20,"○ 候補",IF(J105&gt;=3,"△ 要検討","× 見送り"))))</f>
        <v/>
      </c>
      <c r="L105" s="19" t="str">
        <f aca="false">IF(E105="","",IF(E105&gt;=設定!$B$14,"○","×"))</f>
        <v/>
      </c>
      <c r="M105" s="19" t="str">
        <f aca="false">IF(H105="","",IF(H105&lt;=設定!$B$15,"○","×"))</f>
        <v/>
      </c>
      <c r="N105" s="19" t="str">
        <f aca="false">IF(I105="","",IF(I105&gt;=設定!$B$16,"○","×"))</f>
        <v/>
      </c>
      <c r="O105" s="19" t="str">
        <f aca="false">IF(G105="","",IF(AND(G105&gt;=設定!$B$17,G105&lt;=設定!$B$18),"○","×"))</f>
        <v/>
      </c>
      <c r="P105" s="30" t="str">
        <f aca="false">IF(OR(B105="",D105=0),"",COUNTIFS(上位10件データ!$A:$A,$B105,上位10件データ!$H:$H,"はい")/D105)</f>
        <v/>
      </c>
      <c r="Q105" s="22"/>
    </row>
    <row r="106" customFormat="false" ht="15" hidden="false" customHeight="true" outlineLevel="0" collapsed="false">
      <c r="A106" s="19" t="str">
        <f aca="false">IF(B106="","",ROW()-1)</f>
        <v/>
      </c>
      <c r="B106" s="22"/>
      <c r="C106" s="9"/>
      <c r="D106" s="19" t="str">
        <f aca="false">IF(B106="","",COUNTIFS(上位10件データ!$A:$A,$B106))</f>
        <v/>
      </c>
      <c r="E106" s="28" t="str">
        <f aca="false">IF(OR(B106="",D106=0),"",AVERAGEIFS(上位10件データ!$G:$G,上位10件データ!$A:$A,$B106))</f>
        <v/>
      </c>
      <c r="F106" s="28" t="str">
        <f aca="false">IF(OR(B106="",D106=0),"",SUMIFS(上位10件データ!$G:$G,上位10件データ!$A:$A,$B106))</f>
        <v/>
      </c>
      <c r="G106" s="28" t="str">
        <f aca="false">IF(OR(B106="",D106=0),"",AVERAGEIFS(上位10件データ!$E:$E,上位10件データ!$A:$A,$B106))</f>
        <v/>
      </c>
      <c r="H106" s="19" t="str">
        <f aca="false">IF(OR(B106="",D106=0),"",COUNTIFS(上位10件データ!$A:$A,$B106,上位10件データ!$F:$F,"&gt;=1000"))</f>
        <v/>
      </c>
      <c r="I106" s="19" t="str">
        <f aca="false">IF(OR(B106="",D106=0),"",COUNTIFS(上位10件データ!$A:$A,$B106,上位10件データ!$F:$F,"&lt;100"))</f>
        <v/>
      </c>
      <c r="J106" s="19" t="str">
        <f aca="false">IF(E106="","",COUNTIF(L106:O106,"○")+IF(P106&gt;=0.5,1,0))</f>
        <v/>
      </c>
      <c r="K106" s="29" t="str">
        <f aca="false">IF(J106="","",IF(J106&gt;=設定!$B$19,"◎ 有力",IF(J106&gt;=設定!$B$20,"○ 候補",IF(J106&gt;=3,"△ 要検討","× 見送り"))))</f>
        <v/>
      </c>
      <c r="L106" s="19" t="str">
        <f aca="false">IF(E106="","",IF(E106&gt;=設定!$B$14,"○","×"))</f>
        <v/>
      </c>
      <c r="M106" s="19" t="str">
        <f aca="false">IF(H106="","",IF(H106&lt;=設定!$B$15,"○","×"))</f>
        <v/>
      </c>
      <c r="N106" s="19" t="str">
        <f aca="false">IF(I106="","",IF(I106&gt;=設定!$B$16,"○","×"))</f>
        <v/>
      </c>
      <c r="O106" s="19" t="str">
        <f aca="false">IF(G106="","",IF(AND(G106&gt;=設定!$B$17,G106&lt;=設定!$B$18),"○","×"))</f>
        <v/>
      </c>
      <c r="P106" s="30" t="str">
        <f aca="false">IF(OR(B106="",D106=0),"",COUNTIFS(上位10件データ!$A:$A,$B106,上位10件データ!$H:$H,"はい")/D106)</f>
        <v/>
      </c>
      <c r="Q106" s="22"/>
    </row>
    <row r="107" customFormat="false" ht="15" hidden="false" customHeight="true" outlineLevel="0" collapsed="false">
      <c r="A107" s="19" t="str">
        <f aca="false">IF(B107="","",ROW()-1)</f>
        <v/>
      </c>
      <c r="B107" s="22"/>
      <c r="C107" s="9"/>
      <c r="D107" s="19" t="str">
        <f aca="false">IF(B107="","",COUNTIFS(上位10件データ!$A:$A,$B107))</f>
        <v/>
      </c>
      <c r="E107" s="28" t="str">
        <f aca="false">IF(OR(B107="",D107=0),"",AVERAGEIFS(上位10件データ!$G:$G,上位10件データ!$A:$A,$B107))</f>
        <v/>
      </c>
      <c r="F107" s="28" t="str">
        <f aca="false">IF(OR(B107="",D107=0),"",SUMIFS(上位10件データ!$G:$G,上位10件データ!$A:$A,$B107))</f>
        <v/>
      </c>
      <c r="G107" s="28" t="str">
        <f aca="false">IF(OR(B107="",D107=0),"",AVERAGEIFS(上位10件データ!$E:$E,上位10件データ!$A:$A,$B107))</f>
        <v/>
      </c>
      <c r="H107" s="19" t="str">
        <f aca="false">IF(OR(B107="",D107=0),"",COUNTIFS(上位10件データ!$A:$A,$B107,上位10件データ!$F:$F,"&gt;=1000"))</f>
        <v/>
      </c>
      <c r="I107" s="19" t="str">
        <f aca="false">IF(OR(B107="",D107=0),"",COUNTIFS(上位10件データ!$A:$A,$B107,上位10件データ!$F:$F,"&lt;100"))</f>
        <v/>
      </c>
      <c r="J107" s="19" t="str">
        <f aca="false">IF(E107="","",COUNTIF(L107:O107,"○")+IF(P107&gt;=0.5,1,0))</f>
        <v/>
      </c>
      <c r="K107" s="29" t="str">
        <f aca="false">IF(J107="","",IF(J107&gt;=設定!$B$19,"◎ 有力",IF(J107&gt;=設定!$B$20,"○ 候補",IF(J107&gt;=3,"△ 要検討","× 見送り"))))</f>
        <v/>
      </c>
      <c r="L107" s="19" t="str">
        <f aca="false">IF(E107="","",IF(E107&gt;=設定!$B$14,"○","×"))</f>
        <v/>
      </c>
      <c r="M107" s="19" t="str">
        <f aca="false">IF(H107="","",IF(H107&lt;=設定!$B$15,"○","×"))</f>
        <v/>
      </c>
      <c r="N107" s="19" t="str">
        <f aca="false">IF(I107="","",IF(I107&gt;=設定!$B$16,"○","×"))</f>
        <v/>
      </c>
      <c r="O107" s="19" t="str">
        <f aca="false">IF(G107="","",IF(AND(G107&gt;=設定!$B$17,G107&lt;=設定!$B$18),"○","×"))</f>
        <v/>
      </c>
      <c r="P107" s="30" t="str">
        <f aca="false">IF(OR(B107="",D107=0),"",COUNTIFS(上位10件データ!$A:$A,$B107,上位10件データ!$H:$H,"はい")/D107)</f>
        <v/>
      </c>
      <c r="Q107" s="22"/>
    </row>
    <row r="108" customFormat="false" ht="15" hidden="false" customHeight="true" outlineLevel="0" collapsed="false">
      <c r="A108" s="19" t="str">
        <f aca="false">IF(B108="","",ROW()-1)</f>
        <v/>
      </c>
      <c r="B108" s="22"/>
      <c r="C108" s="9"/>
      <c r="D108" s="19" t="str">
        <f aca="false">IF(B108="","",COUNTIFS(上位10件データ!$A:$A,$B108))</f>
        <v/>
      </c>
      <c r="E108" s="28" t="str">
        <f aca="false">IF(OR(B108="",D108=0),"",AVERAGEIFS(上位10件データ!$G:$G,上位10件データ!$A:$A,$B108))</f>
        <v/>
      </c>
      <c r="F108" s="28" t="str">
        <f aca="false">IF(OR(B108="",D108=0),"",SUMIFS(上位10件データ!$G:$G,上位10件データ!$A:$A,$B108))</f>
        <v/>
      </c>
      <c r="G108" s="28" t="str">
        <f aca="false">IF(OR(B108="",D108=0),"",AVERAGEIFS(上位10件データ!$E:$E,上位10件データ!$A:$A,$B108))</f>
        <v/>
      </c>
      <c r="H108" s="19" t="str">
        <f aca="false">IF(OR(B108="",D108=0),"",COUNTIFS(上位10件データ!$A:$A,$B108,上位10件データ!$F:$F,"&gt;=1000"))</f>
        <v/>
      </c>
      <c r="I108" s="19" t="str">
        <f aca="false">IF(OR(B108="",D108=0),"",COUNTIFS(上位10件データ!$A:$A,$B108,上位10件データ!$F:$F,"&lt;100"))</f>
        <v/>
      </c>
      <c r="J108" s="19" t="str">
        <f aca="false">IF(E108="","",COUNTIF(L108:O108,"○")+IF(P108&gt;=0.5,1,0))</f>
        <v/>
      </c>
      <c r="K108" s="29" t="str">
        <f aca="false">IF(J108="","",IF(J108&gt;=設定!$B$19,"◎ 有力",IF(J108&gt;=設定!$B$20,"○ 候補",IF(J108&gt;=3,"△ 要検討","× 見送り"))))</f>
        <v/>
      </c>
      <c r="L108" s="19" t="str">
        <f aca="false">IF(E108="","",IF(E108&gt;=設定!$B$14,"○","×"))</f>
        <v/>
      </c>
      <c r="M108" s="19" t="str">
        <f aca="false">IF(H108="","",IF(H108&lt;=設定!$B$15,"○","×"))</f>
        <v/>
      </c>
      <c r="N108" s="19" t="str">
        <f aca="false">IF(I108="","",IF(I108&gt;=設定!$B$16,"○","×"))</f>
        <v/>
      </c>
      <c r="O108" s="19" t="str">
        <f aca="false">IF(G108="","",IF(AND(G108&gt;=設定!$B$17,G108&lt;=設定!$B$18),"○","×"))</f>
        <v/>
      </c>
      <c r="P108" s="30" t="str">
        <f aca="false">IF(OR(B108="",D108=0),"",COUNTIFS(上位10件データ!$A:$A,$B108,上位10件データ!$H:$H,"はい")/D108)</f>
        <v/>
      </c>
      <c r="Q108" s="22"/>
    </row>
    <row r="109" customFormat="false" ht="15" hidden="false" customHeight="true" outlineLevel="0" collapsed="false">
      <c r="A109" s="19" t="str">
        <f aca="false">IF(B109="","",ROW()-1)</f>
        <v/>
      </c>
      <c r="B109" s="22"/>
      <c r="C109" s="9"/>
      <c r="D109" s="19" t="str">
        <f aca="false">IF(B109="","",COUNTIFS(上位10件データ!$A:$A,$B109))</f>
        <v/>
      </c>
      <c r="E109" s="28" t="str">
        <f aca="false">IF(OR(B109="",D109=0),"",AVERAGEIFS(上位10件データ!$G:$G,上位10件データ!$A:$A,$B109))</f>
        <v/>
      </c>
      <c r="F109" s="28" t="str">
        <f aca="false">IF(OR(B109="",D109=0),"",SUMIFS(上位10件データ!$G:$G,上位10件データ!$A:$A,$B109))</f>
        <v/>
      </c>
      <c r="G109" s="28" t="str">
        <f aca="false">IF(OR(B109="",D109=0),"",AVERAGEIFS(上位10件データ!$E:$E,上位10件データ!$A:$A,$B109))</f>
        <v/>
      </c>
      <c r="H109" s="19" t="str">
        <f aca="false">IF(OR(B109="",D109=0),"",COUNTIFS(上位10件データ!$A:$A,$B109,上位10件データ!$F:$F,"&gt;=1000"))</f>
        <v/>
      </c>
      <c r="I109" s="19" t="str">
        <f aca="false">IF(OR(B109="",D109=0),"",COUNTIFS(上位10件データ!$A:$A,$B109,上位10件データ!$F:$F,"&lt;100"))</f>
        <v/>
      </c>
      <c r="J109" s="19" t="str">
        <f aca="false">IF(E109="","",COUNTIF(L109:O109,"○")+IF(P109&gt;=0.5,1,0))</f>
        <v/>
      </c>
      <c r="K109" s="29" t="str">
        <f aca="false">IF(J109="","",IF(J109&gt;=設定!$B$19,"◎ 有力",IF(J109&gt;=設定!$B$20,"○ 候補",IF(J109&gt;=3,"△ 要検討","× 見送り"))))</f>
        <v/>
      </c>
      <c r="L109" s="19" t="str">
        <f aca="false">IF(E109="","",IF(E109&gt;=設定!$B$14,"○","×"))</f>
        <v/>
      </c>
      <c r="M109" s="19" t="str">
        <f aca="false">IF(H109="","",IF(H109&lt;=設定!$B$15,"○","×"))</f>
        <v/>
      </c>
      <c r="N109" s="19" t="str">
        <f aca="false">IF(I109="","",IF(I109&gt;=設定!$B$16,"○","×"))</f>
        <v/>
      </c>
      <c r="O109" s="19" t="str">
        <f aca="false">IF(G109="","",IF(AND(G109&gt;=設定!$B$17,G109&lt;=設定!$B$18),"○","×"))</f>
        <v/>
      </c>
      <c r="P109" s="30" t="str">
        <f aca="false">IF(OR(B109="",D109=0),"",COUNTIFS(上位10件データ!$A:$A,$B109,上位10件データ!$H:$H,"はい")/D109)</f>
        <v/>
      </c>
      <c r="Q109" s="22"/>
    </row>
    <row r="110" customFormat="false" ht="15" hidden="false" customHeight="true" outlineLevel="0" collapsed="false">
      <c r="A110" s="19" t="str">
        <f aca="false">IF(B110="","",ROW()-1)</f>
        <v/>
      </c>
      <c r="B110" s="22"/>
      <c r="C110" s="9"/>
      <c r="D110" s="19" t="str">
        <f aca="false">IF(B110="","",COUNTIFS(上位10件データ!$A:$A,$B110))</f>
        <v/>
      </c>
      <c r="E110" s="28" t="str">
        <f aca="false">IF(OR(B110="",D110=0),"",AVERAGEIFS(上位10件データ!$G:$G,上位10件データ!$A:$A,$B110))</f>
        <v/>
      </c>
      <c r="F110" s="28" t="str">
        <f aca="false">IF(OR(B110="",D110=0),"",SUMIFS(上位10件データ!$G:$G,上位10件データ!$A:$A,$B110))</f>
        <v/>
      </c>
      <c r="G110" s="28" t="str">
        <f aca="false">IF(OR(B110="",D110=0),"",AVERAGEIFS(上位10件データ!$E:$E,上位10件データ!$A:$A,$B110))</f>
        <v/>
      </c>
      <c r="H110" s="19" t="str">
        <f aca="false">IF(OR(B110="",D110=0),"",COUNTIFS(上位10件データ!$A:$A,$B110,上位10件データ!$F:$F,"&gt;=1000"))</f>
        <v/>
      </c>
      <c r="I110" s="19" t="str">
        <f aca="false">IF(OR(B110="",D110=0),"",COUNTIFS(上位10件データ!$A:$A,$B110,上位10件データ!$F:$F,"&lt;100"))</f>
        <v/>
      </c>
      <c r="J110" s="19" t="str">
        <f aca="false">IF(E110="","",COUNTIF(L110:O110,"○")+IF(P110&gt;=0.5,1,0))</f>
        <v/>
      </c>
      <c r="K110" s="29" t="str">
        <f aca="false">IF(J110="","",IF(J110&gt;=設定!$B$19,"◎ 有力",IF(J110&gt;=設定!$B$20,"○ 候補",IF(J110&gt;=3,"△ 要検討","× 見送り"))))</f>
        <v/>
      </c>
      <c r="L110" s="19" t="str">
        <f aca="false">IF(E110="","",IF(E110&gt;=設定!$B$14,"○","×"))</f>
        <v/>
      </c>
      <c r="M110" s="19" t="str">
        <f aca="false">IF(H110="","",IF(H110&lt;=設定!$B$15,"○","×"))</f>
        <v/>
      </c>
      <c r="N110" s="19" t="str">
        <f aca="false">IF(I110="","",IF(I110&gt;=設定!$B$16,"○","×"))</f>
        <v/>
      </c>
      <c r="O110" s="19" t="str">
        <f aca="false">IF(G110="","",IF(AND(G110&gt;=設定!$B$17,G110&lt;=設定!$B$18),"○","×"))</f>
        <v/>
      </c>
      <c r="P110" s="30" t="str">
        <f aca="false">IF(OR(B110="",D110=0),"",COUNTIFS(上位10件データ!$A:$A,$B110,上位10件データ!$H:$H,"はい")/D110)</f>
        <v/>
      </c>
      <c r="Q110" s="22"/>
    </row>
    <row r="111" customFormat="false" ht="15" hidden="false" customHeight="true" outlineLevel="0" collapsed="false">
      <c r="A111" s="19" t="str">
        <f aca="false">IF(B111="","",ROW()-1)</f>
        <v/>
      </c>
      <c r="B111" s="22"/>
      <c r="C111" s="9"/>
      <c r="D111" s="19" t="str">
        <f aca="false">IF(B111="","",COUNTIFS(上位10件データ!$A:$A,$B111))</f>
        <v/>
      </c>
      <c r="E111" s="28" t="str">
        <f aca="false">IF(OR(B111="",D111=0),"",AVERAGEIFS(上位10件データ!$G:$G,上位10件データ!$A:$A,$B111))</f>
        <v/>
      </c>
      <c r="F111" s="28" t="str">
        <f aca="false">IF(OR(B111="",D111=0),"",SUMIFS(上位10件データ!$G:$G,上位10件データ!$A:$A,$B111))</f>
        <v/>
      </c>
      <c r="G111" s="28" t="str">
        <f aca="false">IF(OR(B111="",D111=0),"",AVERAGEIFS(上位10件データ!$E:$E,上位10件データ!$A:$A,$B111))</f>
        <v/>
      </c>
      <c r="H111" s="19" t="str">
        <f aca="false">IF(OR(B111="",D111=0),"",COUNTIFS(上位10件データ!$A:$A,$B111,上位10件データ!$F:$F,"&gt;=1000"))</f>
        <v/>
      </c>
      <c r="I111" s="19" t="str">
        <f aca="false">IF(OR(B111="",D111=0),"",COUNTIFS(上位10件データ!$A:$A,$B111,上位10件データ!$F:$F,"&lt;100"))</f>
        <v/>
      </c>
      <c r="J111" s="19" t="str">
        <f aca="false">IF(E111="","",COUNTIF(L111:O111,"○")+IF(P111&gt;=0.5,1,0))</f>
        <v/>
      </c>
      <c r="K111" s="29" t="str">
        <f aca="false">IF(J111="","",IF(J111&gt;=設定!$B$19,"◎ 有力",IF(J111&gt;=設定!$B$20,"○ 候補",IF(J111&gt;=3,"△ 要検討","× 見送り"))))</f>
        <v/>
      </c>
      <c r="L111" s="19" t="str">
        <f aca="false">IF(E111="","",IF(E111&gt;=設定!$B$14,"○","×"))</f>
        <v/>
      </c>
      <c r="M111" s="19" t="str">
        <f aca="false">IF(H111="","",IF(H111&lt;=設定!$B$15,"○","×"))</f>
        <v/>
      </c>
      <c r="N111" s="19" t="str">
        <f aca="false">IF(I111="","",IF(I111&gt;=設定!$B$16,"○","×"))</f>
        <v/>
      </c>
      <c r="O111" s="19" t="str">
        <f aca="false">IF(G111="","",IF(AND(G111&gt;=設定!$B$17,G111&lt;=設定!$B$18),"○","×"))</f>
        <v/>
      </c>
      <c r="P111" s="30" t="str">
        <f aca="false">IF(OR(B111="",D111=0),"",COUNTIFS(上位10件データ!$A:$A,$B111,上位10件データ!$H:$H,"はい")/D111)</f>
        <v/>
      </c>
      <c r="Q111" s="22"/>
    </row>
    <row r="112" customFormat="false" ht="15" hidden="false" customHeight="true" outlineLevel="0" collapsed="false">
      <c r="A112" s="19" t="str">
        <f aca="false">IF(B112="","",ROW()-1)</f>
        <v/>
      </c>
      <c r="B112" s="22"/>
      <c r="C112" s="9"/>
      <c r="D112" s="19" t="str">
        <f aca="false">IF(B112="","",COUNTIFS(上位10件データ!$A:$A,$B112))</f>
        <v/>
      </c>
      <c r="E112" s="28" t="str">
        <f aca="false">IF(OR(B112="",D112=0),"",AVERAGEIFS(上位10件データ!$G:$G,上位10件データ!$A:$A,$B112))</f>
        <v/>
      </c>
      <c r="F112" s="28" t="str">
        <f aca="false">IF(OR(B112="",D112=0),"",SUMIFS(上位10件データ!$G:$G,上位10件データ!$A:$A,$B112))</f>
        <v/>
      </c>
      <c r="G112" s="28" t="str">
        <f aca="false">IF(OR(B112="",D112=0),"",AVERAGEIFS(上位10件データ!$E:$E,上位10件データ!$A:$A,$B112))</f>
        <v/>
      </c>
      <c r="H112" s="19" t="str">
        <f aca="false">IF(OR(B112="",D112=0),"",COUNTIFS(上位10件データ!$A:$A,$B112,上位10件データ!$F:$F,"&gt;=1000"))</f>
        <v/>
      </c>
      <c r="I112" s="19" t="str">
        <f aca="false">IF(OR(B112="",D112=0),"",COUNTIFS(上位10件データ!$A:$A,$B112,上位10件データ!$F:$F,"&lt;100"))</f>
        <v/>
      </c>
      <c r="J112" s="19" t="str">
        <f aca="false">IF(E112="","",COUNTIF(L112:O112,"○")+IF(P112&gt;=0.5,1,0))</f>
        <v/>
      </c>
      <c r="K112" s="29" t="str">
        <f aca="false">IF(J112="","",IF(J112&gt;=設定!$B$19,"◎ 有力",IF(J112&gt;=設定!$B$20,"○ 候補",IF(J112&gt;=3,"△ 要検討","× 見送り"))))</f>
        <v/>
      </c>
      <c r="L112" s="19" t="str">
        <f aca="false">IF(E112="","",IF(E112&gt;=設定!$B$14,"○","×"))</f>
        <v/>
      </c>
      <c r="M112" s="19" t="str">
        <f aca="false">IF(H112="","",IF(H112&lt;=設定!$B$15,"○","×"))</f>
        <v/>
      </c>
      <c r="N112" s="19" t="str">
        <f aca="false">IF(I112="","",IF(I112&gt;=設定!$B$16,"○","×"))</f>
        <v/>
      </c>
      <c r="O112" s="19" t="str">
        <f aca="false">IF(G112="","",IF(AND(G112&gt;=設定!$B$17,G112&lt;=設定!$B$18),"○","×"))</f>
        <v/>
      </c>
      <c r="P112" s="30" t="str">
        <f aca="false">IF(OR(B112="",D112=0),"",COUNTIFS(上位10件データ!$A:$A,$B112,上位10件データ!$H:$H,"はい")/D112)</f>
        <v/>
      </c>
      <c r="Q112" s="22"/>
    </row>
    <row r="113" customFormat="false" ht="15" hidden="false" customHeight="true" outlineLevel="0" collapsed="false">
      <c r="A113" s="19" t="str">
        <f aca="false">IF(B113="","",ROW()-1)</f>
        <v/>
      </c>
      <c r="B113" s="22"/>
      <c r="C113" s="9"/>
      <c r="D113" s="19" t="str">
        <f aca="false">IF(B113="","",COUNTIFS(上位10件データ!$A:$A,$B113))</f>
        <v/>
      </c>
      <c r="E113" s="28" t="str">
        <f aca="false">IF(OR(B113="",D113=0),"",AVERAGEIFS(上位10件データ!$G:$G,上位10件データ!$A:$A,$B113))</f>
        <v/>
      </c>
      <c r="F113" s="28" t="str">
        <f aca="false">IF(OR(B113="",D113=0),"",SUMIFS(上位10件データ!$G:$G,上位10件データ!$A:$A,$B113))</f>
        <v/>
      </c>
      <c r="G113" s="28" t="str">
        <f aca="false">IF(OR(B113="",D113=0),"",AVERAGEIFS(上位10件データ!$E:$E,上位10件データ!$A:$A,$B113))</f>
        <v/>
      </c>
      <c r="H113" s="19" t="str">
        <f aca="false">IF(OR(B113="",D113=0),"",COUNTIFS(上位10件データ!$A:$A,$B113,上位10件データ!$F:$F,"&gt;=1000"))</f>
        <v/>
      </c>
      <c r="I113" s="19" t="str">
        <f aca="false">IF(OR(B113="",D113=0),"",COUNTIFS(上位10件データ!$A:$A,$B113,上位10件データ!$F:$F,"&lt;100"))</f>
        <v/>
      </c>
      <c r="J113" s="19" t="str">
        <f aca="false">IF(E113="","",COUNTIF(L113:O113,"○")+IF(P113&gt;=0.5,1,0))</f>
        <v/>
      </c>
      <c r="K113" s="29" t="str">
        <f aca="false">IF(J113="","",IF(J113&gt;=設定!$B$19,"◎ 有力",IF(J113&gt;=設定!$B$20,"○ 候補",IF(J113&gt;=3,"△ 要検討","× 見送り"))))</f>
        <v/>
      </c>
      <c r="L113" s="19" t="str">
        <f aca="false">IF(E113="","",IF(E113&gt;=設定!$B$14,"○","×"))</f>
        <v/>
      </c>
      <c r="M113" s="19" t="str">
        <f aca="false">IF(H113="","",IF(H113&lt;=設定!$B$15,"○","×"))</f>
        <v/>
      </c>
      <c r="N113" s="19" t="str">
        <f aca="false">IF(I113="","",IF(I113&gt;=設定!$B$16,"○","×"))</f>
        <v/>
      </c>
      <c r="O113" s="19" t="str">
        <f aca="false">IF(G113="","",IF(AND(G113&gt;=設定!$B$17,G113&lt;=設定!$B$18),"○","×"))</f>
        <v/>
      </c>
      <c r="P113" s="30" t="str">
        <f aca="false">IF(OR(B113="",D113=0),"",COUNTIFS(上位10件データ!$A:$A,$B113,上位10件データ!$H:$H,"はい")/D113)</f>
        <v/>
      </c>
      <c r="Q113" s="22"/>
    </row>
    <row r="114" customFormat="false" ht="15" hidden="false" customHeight="true" outlineLevel="0" collapsed="false">
      <c r="A114" s="19" t="str">
        <f aca="false">IF(B114="","",ROW()-1)</f>
        <v/>
      </c>
      <c r="B114" s="22"/>
      <c r="C114" s="9"/>
      <c r="D114" s="19" t="str">
        <f aca="false">IF(B114="","",COUNTIFS(上位10件データ!$A:$A,$B114))</f>
        <v/>
      </c>
      <c r="E114" s="28" t="str">
        <f aca="false">IF(OR(B114="",D114=0),"",AVERAGEIFS(上位10件データ!$G:$G,上位10件データ!$A:$A,$B114))</f>
        <v/>
      </c>
      <c r="F114" s="28" t="str">
        <f aca="false">IF(OR(B114="",D114=0),"",SUMIFS(上位10件データ!$G:$G,上位10件データ!$A:$A,$B114))</f>
        <v/>
      </c>
      <c r="G114" s="28" t="str">
        <f aca="false">IF(OR(B114="",D114=0),"",AVERAGEIFS(上位10件データ!$E:$E,上位10件データ!$A:$A,$B114))</f>
        <v/>
      </c>
      <c r="H114" s="19" t="str">
        <f aca="false">IF(OR(B114="",D114=0),"",COUNTIFS(上位10件データ!$A:$A,$B114,上位10件データ!$F:$F,"&gt;=1000"))</f>
        <v/>
      </c>
      <c r="I114" s="19" t="str">
        <f aca="false">IF(OR(B114="",D114=0),"",COUNTIFS(上位10件データ!$A:$A,$B114,上位10件データ!$F:$F,"&lt;100"))</f>
        <v/>
      </c>
      <c r="J114" s="19" t="str">
        <f aca="false">IF(E114="","",COUNTIF(L114:O114,"○")+IF(P114&gt;=0.5,1,0))</f>
        <v/>
      </c>
      <c r="K114" s="29" t="str">
        <f aca="false">IF(J114="","",IF(J114&gt;=設定!$B$19,"◎ 有力",IF(J114&gt;=設定!$B$20,"○ 候補",IF(J114&gt;=3,"△ 要検討","× 見送り"))))</f>
        <v/>
      </c>
      <c r="L114" s="19" t="str">
        <f aca="false">IF(E114="","",IF(E114&gt;=設定!$B$14,"○","×"))</f>
        <v/>
      </c>
      <c r="M114" s="19" t="str">
        <f aca="false">IF(H114="","",IF(H114&lt;=設定!$B$15,"○","×"))</f>
        <v/>
      </c>
      <c r="N114" s="19" t="str">
        <f aca="false">IF(I114="","",IF(I114&gt;=設定!$B$16,"○","×"))</f>
        <v/>
      </c>
      <c r="O114" s="19" t="str">
        <f aca="false">IF(G114="","",IF(AND(G114&gt;=設定!$B$17,G114&lt;=設定!$B$18),"○","×"))</f>
        <v/>
      </c>
      <c r="P114" s="30" t="str">
        <f aca="false">IF(OR(B114="",D114=0),"",COUNTIFS(上位10件データ!$A:$A,$B114,上位10件データ!$H:$H,"はい")/D114)</f>
        <v/>
      </c>
      <c r="Q114" s="22"/>
    </row>
    <row r="115" customFormat="false" ht="15" hidden="false" customHeight="true" outlineLevel="0" collapsed="false">
      <c r="A115" s="19" t="str">
        <f aca="false">IF(B115="","",ROW()-1)</f>
        <v/>
      </c>
      <c r="B115" s="22"/>
      <c r="C115" s="9"/>
      <c r="D115" s="19" t="str">
        <f aca="false">IF(B115="","",COUNTIFS(上位10件データ!$A:$A,$B115))</f>
        <v/>
      </c>
      <c r="E115" s="28" t="str">
        <f aca="false">IF(OR(B115="",D115=0),"",AVERAGEIFS(上位10件データ!$G:$G,上位10件データ!$A:$A,$B115))</f>
        <v/>
      </c>
      <c r="F115" s="28" t="str">
        <f aca="false">IF(OR(B115="",D115=0),"",SUMIFS(上位10件データ!$G:$G,上位10件データ!$A:$A,$B115))</f>
        <v/>
      </c>
      <c r="G115" s="28" t="str">
        <f aca="false">IF(OR(B115="",D115=0),"",AVERAGEIFS(上位10件データ!$E:$E,上位10件データ!$A:$A,$B115))</f>
        <v/>
      </c>
      <c r="H115" s="19" t="str">
        <f aca="false">IF(OR(B115="",D115=0),"",COUNTIFS(上位10件データ!$A:$A,$B115,上位10件データ!$F:$F,"&gt;=1000"))</f>
        <v/>
      </c>
      <c r="I115" s="19" t="str">
        <f aca="false">IF(OR(B115="",D115=0),"",COUNTIFS(上位10件データ!$A:$A,$B115,上位10件データ!$F:$F,"&lt;100"))</f>
        <v/>
      </c>
      <c r="J115" s="19" t="str">
        <f aca="false">IF(E115="","",COUNTIF(L115:O115,"○")+IF(P115&gt;=0.5,1,0))</f>
        <v/>
      </c>
      <c r="K115" s="29" t="str">
        <f aca="false">IF(J115="","",IF(J115&gt;=設定!$B$19,"◎ 有力",IF(J115&gt;=設定!$B$20,"○ 候補",IF(J115&gt;=3,"△ 要検討","× 見送り"))))</f>
        <v/>
      </c>
      <c r="L115" s="19" t="str">
        <f aca="false">IF(E115="","",IF(E115&gt;=設定!$B$14,"○","×"))</f>
        <v/>
      </c>
      <c r="M115" s="19" t="str">
        <f aca="false">IF(H115="","",IF(H115&lt;=設定!$B$15,"○","×"))</f>
        <v/>
      </c>
      <c r="N115" s="19" t="str">
        <f aca="false">IF(I115="","",IF(I115&gt;=設定!$B$16,"○","×"))</f>
        <v/>
      </c>
      <c r="O115" s="19" t="str">
        <f aca="false">IF(G115="","",IF(AND(G115&gt;=設定!$B$17,G115&lt;=設定!$B$18),"○","×"))</f>
        <v/>
      </c>
      <c r="P115" s="30" t="str">
        <f aca="false">IF(OR(B115="",D115=0),"",COUNTIFS(上位10件データ!$A:$A,$B115,上位10件データ!$H:$H,"はい")/D115)</f>
        <v/>
      </c>
      <c r="Q115" s="22"/>
    </row>
    <row r="116" customFormat="false" ht="15" hidden="false" customHeight="true" outlineLevel="0" collapsed="false">
      <c r="A116" s="19" t="str">
        <f aca="false">IF(B116="","",ROW()-1)</f>
        <v/>
      </c>
      <c r="B116" s="22"/>
      <c r="C116" s="9"/>
      <c r="D116" s="19" t="str">
        <f aca="false">IF(B116="","",COUNTIFS(上位10件データ!$A:$A,$B116))</f>
        <v/>
      </c>
      <c r="E116" s="28" t="str">
        <f aca="false">IF(OR(B116="",D116=0),"",AVERAGEIFS(上位10件データ!$G:$G,上位10件データ!$A:$A,$B116))</f>
        <v/>
      </c>
      <c r="F116" s="28" t="str">
        <f aca="false">IF(OR(B116="",D116=0),"",SUMIFS(上位10件データ!$G:$G,上位10件データ!$A:$A,$B116))</f>
        <v/>
      </c>
      <c r="G116" s="28" t="str">
        <f aca="false">IF(OR(B116="",D116=0),"",AVERAGEIFS(上位10件データ!$E:$E,上位10件データ!$A:$A,$B116))</f>
        <v/>
      </c>
      <c r="H116" s="19" t="str">
        <f aca="false">IF(OR(B116="",D116=0),"",COUNTIFS(上位10件データ!$A:$A,$B116,上位10件データ!$F:$F,"&gt;=1000"))</f>
        <v/>
      </c>
      <c r="I116" s="19" t="str">
        <f aca="false">IF(OR(B116="",D116=0),"",COUNTIFS(上位10件データ!$A:$A,$B116,上位10件データ!$F:$F,"&lt;100"))</f>
        <v/>
      </c>
      <c r="J116" s="19" t="str">
        <f aca="false">IF(E116="","",COUNTIF(L116:O116,"○")+IF(P116&gt;=0.5,1,0))</f>
        <v/>
      </c>
      <c r="K116" s="29" t="str">
        <f aca="false">IF(J116="","",IF(J116&gt;=設定!$B$19,"◎ 有力",IF(J116&gt;=設定!$B$20,"○ 候補",IF(J116&gt;=3,"△ 要検討","× 見送り"))))</f>
        <v/>
      </c>
      <c r="L116" s="19" t="str">
        <f aca="false">IF(E116="","",IF(E116&gt;=設定!$B$14,"○","×"))</f>
        <v/>
      </c>
      <c r="M116" s="19" t="str">
        <f aca="false">IF(H116="","",IF(H116&lt;=設定!$B$15,"○","×"))</f>
        <v/>
      </c>
      <c r="N116" s="19" t="str">
        <f aca="false">IF(I116="","",IF(I116&gt;=設定!$B$16,"○","×"))</f>
        <v/>
      </c>
      <c r="O116" s="19" t="str">
        <f aca="false">IF(G116="","",IF(AND(G116&gt;=設定!$B$17,G116&lt;=設定!$B$18),"○","×"))</f>
        <v/>
      </c>
      <c r="P116" s="30" t="str">
        <f aca="false">IF(OR(B116="",D116=0),"",COUNTIFS(上位10件データ!$A:$A,$B116,上位10件データ!$H:$H,"はい")/D116)</f>
        <v/>
      </c>
      <c r="Q116" s="22"/>
    </row>
    <row r="117" customFormat="false" ht="15" hidden="false" customHeight="true" outlineLevel="0" collapsed="false">
      <c r="A117" s="19" t="str">
        <f aca="false">IF(B117="","",ROW()-1)</f>
        <v/>
      </c>
      <c r="B117" s="22"/>
      <c r="C117" s="9"/>
      <c r="D117" s="19" t="str">
        <f aca="false">IF(B117="","",COUNTIFS(上位10件データ!$A:$A,$B117))</f>
        <v/>
      </c>
      <c r="E117" s="28" t="str">
        <f aca="false">IF(OR(B117="",D117=0),"",AVERAGEIFS(上位10件データ!$G:$G,上位10件データ!$A:$A,$B117))</f>
        <v/>
      </c>
      <c r="F117" s="28" t="str">
        <f aca="false">IF(OR(B117="",D117=0),"",SUMIFS(上位10件データ!$G:$G,上位10件データ!$A:$A,$B117))</f>
        <v/>
      </c>
      <c r="G117" s="28" t="str">
        <f aca="false">IF(OR(B117="",D117=0),"",AVERAGEIFS(上位10件データ!$E:$E,上位10件データ!$A:$A,$B117))</f>
        <v/>
      </c>
      <c r="H117" s="19" t="str">
        <f aca="false">IF(OR(B117="",D117=0),"",COUNTIFS(上位10件データ!$A:$A,$B117,上位10件データ!$F:$F,"&gt;=1000"))</f>
        <v/>
      </c>
      <c r="I117" s="19" t="str">
        <f aca="false">IF(OR(B117="",D117=0),"",COUNTIFS(上位10件データ!$A:$A,$B117,上位10件データ!$F:$F,"&lt;100"))</f>
        <v/>
      </c>
      <c r="J117" s="19" t="str">
        <f aca="false">IF(E117="","",COUNTIF(L117:O117,"○")+IF(P117&gt;=0.5,1,0))</f>
        <v/>
      </c>
      <c r="K117" s="29" t="str">
        <f aca="false">IF(J117="","",IF(J117&gt;=設定!$B$19,"◎ 有力",IF(J117&gt;=設定!$B$20,"○ 候補",IF(J117&gt;=3,"△ 要検討","× 見送り"))))</f>
        <v/>
      </c>
      <c r="L117" s="19" t="str">
        <f aca="false">IF(E117="","",IF(E117&gt;=設定!$B$14,"○","×"))</f>
        <v/>
      </c>
      <c r="M117" s="19" t="str">
        <f aca="false">IF(H117="","",IF(H117&lt;=設定!$B$15,"○","×"))</f>
        <v/>
      </c>
      <c r="N117" s="19" t="str">
        <f aca="false">IF(I117="","",IF(I117&gt;=設定!$B$16,"○","×"))</f>
        <v/>
      </c>
      <c r="O117" s="19" t="str">
        <f aca="false">IF(G117="","",IF(AND(G117&gt;=設定!$B$17,G117&lt;=設定!$B$18),"○","×"))</f>
        <v/>
      </c>
      <c r="P117" s="30" t="str">
        <f aca="false">IF(OR(B117="",D117=0),"",COUNTIFS(上位10件データ!$A:$A,$B117,上位10件データ!$H:$H,"はい")/D117)</f>
        <v/>
      </c>
      <c r="Q117" s="22"/>
    </row>
    <row r="118" customFormat="false" ht="15" hidden="false" customHeight="true" outlineLevel="0" collapsed="false">
      <c r="A118" s="19" t="str">
        <f aca="false">IF(B118="","",ROW()-1)</f>
        <v/>
      </c>
      <c r="B118" s="22"/>
      <c r="C118" s="9"/>
      <c r="D118" s="19" t="str">
        <f aca="false">IF(B118="","",COUNTIFS(上位10件データ!$A:$A,$B118))</f>
        <v/>
      </c>
      <c r="E118" s="28" t="str">
        <f aca="false">IF(OR(B118="",D118=0),"",AVERAGEIFS(上位10件データ!$G:$G,上位10件データ!$A:$A,$B118))</f>
        <v/>
      </c>
      <c r="F118" s="28" t="str">
        <f aca="false">IF(OR(B118="",D118=0),"",SUMIFS(上位10件データ!$G:$G,上位10件データ!$A:$A,$B118))</f>
        <v/>
      </c>
      <c r="G118" s="28" t="str">
        <f aca="false">IF(OR(B118="",D118=0),"",AVERAGEIFS(上位10件データ!$E:$E,上位10件データ!$A:$A,$B118))</f>
        <v/>
      </c>
      <c r="H118" s="19" t="str">
        <f aca="false">IF(OR(B118="",D118=0),"",COUNTIFS(上位10件データ!$A:$A,$B118,上位10件データ!$F:$F,"&gt;=1000"))</f>
        <v/>
      </c>
      <c r="I118" s="19" t="str">
        <f aca="false">IF(OR(B118="",D118=0),"",COUNTIFS(上位10件データ!$A:$A,$B118,上位10件データ!$F:$F,"&lt;100"))</f>
        <v/>
      </c>
      <c r="J118" s="19" t="str">
        <f aca="false">IF(E118="","",COUNTIF(L118:O118,"○")+IF(P118&gt;=0.5,1,0))</f>
        <v/>
      </c>
      <c r="K118" s="29" t="str">
        <f aca="false">IF(J118="","",IF(J118&gt;=設定!$B$19,"◎ 有力",IF(J118&gt;=設定!$B$20,"○ 候補",IF(J118&gt;=3,"△ 要検討","× 見送り"))))</f>
        <v/>
      </c>
      <c r="L118" s="19" t="str">
        <f aca="false">IF(E118="","",IF(E118&gt;=設定!$B$14,"○","×"))</f>
        <v/>
      </c>
      <c r="M118" s="19" t="str">
        <f aca="false">IF(H118="","",IF(H118&lt;=設定!$B$15,"○","×"))</f>
        <v/>
      </c>
      <c r="N118" s="19" t="str">
        <f aca="false">IF(I118="","",IF(I118&gt;=設定!$B$16,"○","×"))</f>
        <v/>
      </c>
      <c r="O118" s="19" t="str">
        <f aca="false">IF(G118="","",IF(AND(G118&gt;=設定!$B$17,G118&lt;=設定!$B$18),"○","×"))</f>
        <v/>
      </c>
      <c r="P118" s="30" t="str">
        <f aca="false">IF(OR(B118="",D118=0),"",COUNTIFS(上位10件データ!$A:$A,$B118,上位10件データ!$H:$H,"はい")/D118)</f>
        <v/>
      </c>
      <c r="Q118" s="22"/>
    </row>
    <row r="119" customFormat="false" ht="15" hidden="false" customHeight="true" outlineLevel="0" collapsed="false">
      <c r="A119" s="19" t="str">
        <f aca="false">IF(B119="","",ROW()-1)</f>
        <v/>
      </c>
      <c r="B119" s="22"/>
      <c r="C119" s="9"/>
      <c r="D119" s="19" t="str">
        <f aca="false">IF(B119="","",COUNTIFS(上位10件データ!$A:$A,$B119))</f>
        <v/>
      </c>
      <c r="E119" s="28" t="str">
        <f aca="false">IF(OR(B119="",D119=0),"",AVERAGEIFS(上位10件データ!$G:$G,上位10件データ!$A:$A,$B119))</f>
        <v/>
      </c>
      <c r="F119" s="28" t="str">
        <f aca="false">IF(OR(B119="",D119=0),"",SUMIFS(上位10件データ!$G:$G,上位10件データ!$A:$A,$B119))</f>
        <v/>
      </c>
      <c r="G119" s="28" t="str">
        <f aca="false">IF(OR(B119="",D119=0),"",AVERAGEIFS(上位10件データ!$E:$E,上位10件データ!$A:$A,$B119))</f>
        <v/>
      </c>
      <c r="H119" s="19" t="str">
        <f aca="false">IF(OR(B119="",D119=0),"",COUNTIFS(上位10件データ!$A:$A,$B119,上位10件データ!$F:$F,"&gt;=1000"))</f>
        <v/>
      </c>
      <c r="I119" s="19" t="str">
        <f aca="false">IF(OR(B119="",D119=0),"",COUNTIFS(上位10件データ!$A:$A,$B119,上位10件データ!$F:$F,"&lt;100"))</f>
        <v/>
      </c>
      <c r="J119" s="19" t="str">
        <f aca="false">IF(E119="","",COUNTIF(L119:O119,"○")+IF(P119&gt;=0.5,1,0))</f>
        <v/>
      </c>
      <c r="K119" s="29" t="str">
        <f aca="false">IF(J119="","",IF(J119&gt;=設定!$B$19,"◎ 有力",IF(J119&gt;=設定!$B$20,"○ 候補",IF(J119&gt;=3,"△ 要検討","× 見送り"))))</f>
        <v/>
      </c>
      <c r="L119" s="19" t="str">
        <f aca="false">IF(E119="","",IF(E119&gt;=設定!$B$14,"○","×"))</f>
        <v/>
      </c>
      <c r="M119" s="19" t="str">
        <f aca="false">IF(H119="","",IF(H119&lt;=設定!$B$15,"○","×"))</f>
        <v/>
      </c>
      <c r="N119" s="19" t="str">
        <f aca="false">IF(I119="","",IF(I119&gt;=設定!$B$16,"○","×"))</f>
        <v/>
      </c>
      <c r="O119" s="19" t="str">
        <f aca="false">IF(G119="","",IF(AND(G119&gt;=設定!$B$17,G119&lt;=設定!$B$18),"○","×"))</f>
        <v/>
      </c>
      <c r="P119" s="30" t="str">
        <f aca="false">IF(OR(B119="",D119=0),"",COUNTIFS(上位10件データ!$A:$A,$B119,上位10件データ!$H:$H,"はい")/D119)</f>
        <v/>
      </c>
      <c r="Q119" s="22"/>
    </row>
    <row r="120" customFormat="false" ht="15" hidden="false" customHeight="true" outlineLevel="0" collapsed="false">
      <c r="A120" s="19" t="str">
        <f aca="false">IF(B120="","",ROW()-1)</f>
        <v/>
      </c>
      <c r="B120" s="22"/>
      <c r="C120" s="9"/>
      <c r="D120" s="19" t="str">
        <f aca="false">IF(B120="","",COUNTIFS(上位10件データ!$A:$A,$B120))</f>
        <v/>
      </c>
      <c r="E120" s="28" t="str">
        <f aca="false">IF(OR(B120="",D120=0),"",AVERAGEIFS(上位10件データ!$G:$G,上位10件データ!$A:$A,$B120))</f>
        <v/>
      </c>
      <c r="F120" s="28" t="str">
        <f aca="false">IF(OR(B120="",D120=0),"",SUMIFS(上位10件データ!$G:$G,上位10件データ!$A:$A,$B120))</f>
        <v/>
      </c>
      <c r="G120" s="28" t="str">
        <f aca="false">IF(OR(B120="",D120=0),"",AVERAGEIFS(上位10件データ!$E:$E,上位10件データ!$A:$A,$B120))</f>
        <v/>
      </c>
      <c r="H120" s="19" t="str">
        <f aca="false">IF(OR(B120="",D120=0),"",COUNTIFS(上位10件データ!$A:$A,$B120,上位10件データ!$F:$F,"&gt;=1000"))</f>
        <v/>
      </c>
      <c r="I120" s="19" t="str">
        <f aca="false">IF(OR(B120="",D120=0),"",COUNTIFS(上位10件データ!$A:$A,$B120,上位10件データ!$F:$F,"&lt;100"))</f>
        <v/>
      </c>
      <c r="J120" s="19" t="str">
        <f aca="false">IF(E120="","",COUNTIF(L120:O120,"○")+IF(P120&gt;=0.5,1,0))</f>
        <v/>
      </c>
      <c r="K120" s="29" t="str">
        <f aca="false">IF(J120="","",IF(J120&gt;=設定!$B$19,"◎ 有力",IF(J120&gt;=設定!$B$20,"○ 候補",IF(J120&gt;=3,"△ 要検討","× 見送り"))))</f>
        <v/>
      </c>
      <c r="L120" s="19" t="str">
        <f aca="false">IF(E120="","",IF(E120&gt;=設定!$B$14,"○","×"))</f>
        <v/>
      </c>
      <c r="M120" s="19" t="str">
        <f aca="false">IF(H120="","",IF(H120&lt;=設定!$B$15,"○","×"))</f>
        <v/>
      </c>
      <c r="N120" s="19" t="str">
        <f aca="false">IF(I120="","",IF(I120&gt;=設定!$B$16,"○","×"))</f>
        <v/>
      </c>
      <c r="O120" s="19" t="str">
        <f aca="false">IF(G120="","",IF(AND(G120&gt;=設定!$B$17,G120&lt;=設定!$B$18),"○","×"))</f>
        <v/>
      </c>
      <c r="P120" s="30" t="str">
        <f aca="false">IF(OR(B120="",D120=0),"",COUNTIFS(上位10件データ!$A:$A,$B120,上位10件データ!$H:$H,"はい")/D120)</f>
        <v/>
      </c>
      <c r="Q120" s="22"/>
    </row>
    <row r="121" customFormat="false" ht="15" hidden="false" customHeight="true" outlineLevel="0" collapsed="false">
      <c r="A121" s="19" t="str">
        <f aca="false">IF(B121="","",ROW()-1)</f>
        <v/>
      </c>
      <c r="B121" s="22"/>
      <c r="C121" s="9"/>
      <c r="D121" s="19" t="str">
        <f aca="false">IF(B121="","",COUNTIFS(上位10件データ!$A:$A,$B121))</f>
        <v/>
      </c>
      <c r="E121" s="28" t="str">
        <f aca="false">IF(OR(B121="",D121=0),"",AVERAGEIFS(上位10件データ!$G:$G,上位10件データ!$A:$A,$B121))</f>
        <v/>
      </c>
      <c r="F121" s="28" t="str">
        <f aca="false">IF(OR(B121="",D121=0),"",SUMIFS(上位10件データ!$G:$G,上位10件データ!$A:$A,$B121))</f>
        <v/>
      </c>
      <c r="G121" s="28" t="str">
        <f aca="false">IF(OR(B121="",D121=0),"",AVERAGEIFS(上位10件データ!$E:$E,上位10件データ!$A:$A,$B121))</f>
        <v/>
      </c>
      <c r="H121" s="19" t="str">
        <f aca="false">IF(OR(B121="",D121=0),"",COUNTIFS(上位10件データ!$A:$A,$B121,上位10件データ!$F:$F,"&gt;=1000"))</f>
        <v/>
      </c>
      <c r="I121" s="19" t="str">
        <f aca="false">IF(OR(B121="",D121=0),"",COUNTIFS(上位10件データ!$A:$A,$B121,上位10件データ!$F:$F,"&lt;100"))</f>
        <v/>
      </c>
      <c r="J121" s="19" t="str">
        <f aca="false">IF(E121="","",COUNTIF(L121:O121,"○")+IF(P121&gt;=0.5,1,0))</f>
        <v/>
      </c>
      <c r="K121" s="29" t="str">
        <f aca="false">IF(J121="","",IF(J121&gt;=設定!$B$19,"◎ 有力",IF(J121&gt;=設定!$B$20,"○ 候補",IF(J121&gt;=3,"△ 要検討","× 見送り"))))</f>
        <v/>
      </c>
      <c r="L121" s="19" t="str">
        <f aca="false">IF(E121="","",IF(E121&gt;=設定!$B$14,"○","×"))</f>
        <v/>
      </c>
      <c r="M121" s="19" t="str">
        <f aca="false">IF(H121="","",IF(H121&lt;=設定!$B$15,"○","×"))</f>
        <v/>
      </c>
      <c r="N121" s="19" t="str">
        <f aca="false">IF(I121="","",IF(I121&gt;=設定!$B$16,"○","×"))</f>
        <v/>
      </c>
      <c r="O121" s="19" t="str">
        <f aca="false">IF(G121="","",IF(AND(G121&gt;=設定!$B$17,G121&lt;=設定!$B$18),"○","×"))</f>
        <v/>
      </c>
      <c r="P121" s="30" t="str">
        <f aca="false">IF(OR(B121="",D121=0),"",COUNTIFS(上位10件データ!$A:$A,$B121,上位10件データ!$H:$H,"はい")/D121)</f>
        <v/>
      </c>
      <c r="Q121" s="22"/>
    </row>
    <row r="122" customFormat="false" ht="15" hidden="false" customHeight="true" outlineLevel="0" collapsed="false">
      <c r="A122" s="19" t="str">
        <f aca="false">IF(B122="","",ROW()-1)</f>
        <v/>
      </c>
      <c r="B122" s="22"/>
      <c r="C122" s="9"/>
      <c r="D122" s="19" t="str">
        <f aca="false">IF(B122="","",COUNTIFS(上位10件データ!$A:$A,$B122))</f>
        <v/>
      </c>
      <c r="E122" s="28" t="str">
        <f aca="false">IF(OR(B122="",D122=0),"",AVERAGEIFS(上位10件データ!$G:$G,上位10件データ!$A:$A,$B122))</f>
        <v/>
      </c>
      <c r="F122" s="28" t="str">
        <f aca="false">IF(OR(B122="",D122=0),"",SUMIFS(上位10件データ!$G:$G,上位10件データ!$A:$A,$B122))</f>
        <v/>
      </c>
      <c r="G122" s="28" t="str">
        <f aca="false">IF(OR(B122="",D122=0),"",AVERAGEIFS(上位10件データ!$E:$E,上位10件データ!$A:$A,$B122))</f>
        <v/>
      </c>
      <c r="H122" s="19" t="str">
        <f aca="false">IF(OR(B122="",D122=0),"",COUNTIFS(上位10件データ!$A:$A,$B122,上位10件データ!$F:$F,"&gt;=1000"))</f>
        <v/>
      </c>
      <c r="I122" s="19" t="str">
        <f aca="false">IF(OR(B122="",D122=0),"",COUNTIFS(上位10件データ!$A:$A,$B122,上位10件データ!$F:$F,"&lt;100"))</f>
        <v/>
      </c>
      <c r="J122" s="19" t="str">
        <f aca="false">IF(E122="","",COUNTIF(L122:O122,"○")+IF(P122&gt;=0.5,1,0))</f>
        <v/>
      </c>
      <c r="K122" s="29" t="str">
        <f aca="false">IF(J122="","",IF(J122&gt;=設定!$B$19,"◎ 有力",IF(J122&gt;=設定!$B$20,"○ 候補",IF(J122&gt;=3,"△ 要検討","× 見送り"))))</f>
        <v/>
      </c>
      <c r="L122" s="19" t="str">
        <f aca="false">IF(E122="","",IF(E122&gt;=設定!$B$14,"○","×"))</f>
        <v/>
      </c>
      <c r="M122" s="19" t="str">
        <f aca="false">IF(H122="","",IF(H122&lt;=設定!$B$15,"○","×"))</f>
        <v/>
      </c>
      <c r="N122" s="19" t="str">
        <f aca="false">IF(I122="","",IF(I122&gt;=設定!$B$16,"○","×"))</f>
        <v/>
      </c>
      <c r="O122" s="19" t="str">
        <f aca="false">IF(G122="","",IF(AND(G122&gt;=設定!$B$17,G122&lt;=設定!$B$18),"○","×"))</f>
        <v/>
      </c>
      <c r="P122" s="30" t="str">
        <f aca="false">IF(OR(B122="",D122=0),"",COUNTIFS(上位10件データ!$A:$A,$B122,上位10件データ!$H:$H,"はい")/D122)</f>
        <v/>
      </c>
      <c r="Q122" s="22"/>
    </row>
    <row r="123" customFormat="false" ht="15" hidden="false" customHeight="true" outlineLevel="0" collapsed="false">
      <c r="A123" s="19" t="str">
        <f aca="false">IF(B123="","",ROW()-1)</f>
        <v/>
      </c>
      <c r="B123" s="22"/>
      <c r="C123" s="9"/>
      <c r="D123" s="19" t="str">
        <f aca="false">IF(B123="","",COUNTIFS(上位10件データ!$A:$A,$B123))</f>
        <v/>
      </c>
      <c r="E123" s="28" t="str">
        <f aca="false">IF(OR(B123="",D123=0),"",AVERAGEIFS(上位10件データ!$G:$G,上位10件データ!$A:$A,$B123))</f>
        <v/>
      </c>
      <c r="F123" s="28" t="str">
        <f aca="false">IF(OR(B123="",D123=0),"",SUMIFS(上位10件データ!$G:$G,上位10件データ!$A:$A,$B123))</f>
        <v/>
      </c>
      <c r="G123" s="28" t="str">
        <f aca="false">IF(OR(B123="",D123=0),"",AVERAGEIFS(上位10件データ!$E:$E,上位10件データ!$A:$A,$B123))</f>
        <v/>
      </c>
      <c r="H123" s="19" t="str">
        <f aca="false">IF(OR(B123="",D123=0),"",COUNTIFS(上位10件データ!$A:$A,$B123,上位10件データ!$F:$F,"&gt;=1000"))</f>
        <v/>
      </c>
      <c r="I123" s="19" t="str">
        <f aca="false">IF(OR(B123="",D123=0),"",COUNTIFS(上位10件データ!$A:$A,$B123,上位10件データ!$F:$F,"&lt;100"))</f>
        <v/>
      </c>
      <c r="J123" s="19" t="str">
        <f aca="false">IF(E123="","",COUNTIF(L123:O123,"○")+IF(P123&gt;=0.5,1,0))</f>
        <v/>
      </c>
      <c r="K123" s="29" t="str">
        <f aca="false">IF(J123="","",IF(J123&gt;=設定!$B$19,"◎ 有力",IF(J123&gt;=設定!$B$20,"○ 候補",IF(J123&gt;=3,"△ 要検討","× 見送り"))))</f>
        <v/>
      </c>
      <c r="L123" s="19" t="str">
        <f aca="false">IF(E123="","",IF(E123&gt;=設定!$B$14,"○","×"))</f>
        <v/>
      </c>
      <c r="M123" s="19" t="str">
        <f aca="false">IF(H123="","",IF(H123&lt;=設定!$B$15,"○","×"))</f>
        <v/>
      </c>
      <c r="N123" s="19" t="str">
        <f aca="false">IF(I123="","",IF(I123&gt;=設定!$B$16,"○","×"))</f>
        <v/>
      </c>
      <c r="O123" s="19" t="str">
        <f aca="false">IF(G123="","",IF(AND(G123&gt;=設定!$B$17,G123&lt;=設定!$B$18),"○","×"))</f>
        <v/>
      </c>
      <c r="P123" s="30" t="str">
        <f aca="false">IF(OR(B123="",D123=0),"",COUNTIFS(上位10件データ!$A:$A,$B123,上位10件データ!$H:$H,"はい")/D123)</f>
        <v/>
      </c>
      <c r="Q123" s="22"/>
    </row>
    <row r="124" customFormat="false" ht="15" hidden="false" customHeight="true" outlineLevel="0" collapsed="false">
      <c r="A124" s="19" t="str">
        <f aca="false">IF(B124="","",ROW()-1)</f>
        <v/>
      </c>
      <c r="B124" s="22"/>
      <c r="C124" s="9"/>
      <c r="D124" s="19" t="str">
        <f aca="false">IF(B124="","",COUNTIFS(上位10件データ!$A:$A,$B124))</f>
        <v/>
      </c>
      <c r="E124" s="28" t="str">
        <f aca="false">IF(OR(B124="",D124=0),"",AVERAGEIFS(上位10件データ!$G:$G,上位10件データ!$A:$A,$B124))</f>
        <v/>
      </c>
      <c r="F124" s="28" t="str">
        <f aca="false">IF(OR(B124="",D124=0),"",SUMIFS(上位10件データ!$G:$G,上位10件データ!$A:$A,$B124))</f>
        <v/>
      </c>
      <c r="G124" s="28" t="str">
        <f aca="false">IF(OR(B124="",D124=0),"",AVERAGEIFS(上位10件データ!$E:$E,上位10件データ!$A:$A,$B124))</f>
        <v/>
      </c>
      <c r="H124" s="19" t="str">
        <f aca="false">IF(OR(B124="",D124=0),"",COUNTIFS(上位10件データ!$A:$A,$B124,上位10件データ!$F:$F,"&gt;=1000"))</f>
        <v/>
      </c>
      <c r="I124" s="19" t="str">
        <f aca="false">IF(OR(B124="",D124=0),"",COUNTIFS(上位10件データ!$A:$A,$B124,上位10件データ!$F:$F,"&lt;100"))</f>
        <v/>
      </c>
      <c r="J124" s="19" t="str">
        <f aca="false">IF(E124="","",COUNTIF(L124:O124,"○")+IF(P124&gt;=0.5,1,0))</f>
        <v/>
      </c>
      <c r="K124" s="29" t="str">
        <f aca="false">IF(J124="","",IF(J124&gt;=設定!$B$19,"◎ 有力",IF(J124&gt;=設定!$B$20,"○ 候補",IF(J124&gt;=3,"△ 要検討","× 見送り"))))</f>
        <v/>
      </c>
      <c r="L124" s="19" t="str">
        <f aca="false">IF(E124="","",IF(E124&gt;=設定!$B$14,"○","×"))</f>
        <v/>
      </c>
      <c r="M124" s="19" t="str">
        <f aca="false">IF(H124="","",IF(H124&lt;=設定!$B$15,"○","×"))</f>
        <v/>
      </c>
      <c r="N124" s="19" t="str">
        <f aca="false">IF(I124="","",IF(I124&gt;=設定!$B$16,"○","×"))</f>
        <v/>
      </c>
      <c r="O124" s="19" t="str">
        <f aca="false">IF(G124="","",IF(AND(G124&gt;=設定!$B$17,G124&lt;=設定!$B$18),"○","×"))</f>
        <v/>
      </c>
      <c r="P124" s="30" t="str">
        <f aca="false">IF(OR(B124="",D124=0),"",COUNTIFS(上位10件データ!$A:$A,$B124,上位10件データ!$H:$H,"はい")/D124)</f>
        <v/>
      </c>
      <c r="Q124" s="22"/>
    </row>
    <row r="125" customFormat="false" ht="15" hidden="false" customHeight="true" outlineLevel="0" collapsed="false">
      <c r="A125" s="19" t="str">
        <f aca="false">IF(B125="","",ROW()-1)</f>
        <v/>
      </c>
      <c r="B125" s="22"/>
      <c r="C125" s="9"/>
      <c r="D125" s="19" t="str">
        <f aca="false">IF(B125="","",COUNTIFS(上位10件データ!$A:$A,$B125))</f>
        <v/>
      </c>
      <c r="E125" s="28" t="str">
        <f aca="false">IF(OR(B125="",D125=0),"",AVERAGEIFS(上位10件データ!$G:$G,上位10件データ!$A:$A,$B125))</f>
        <v/>
      </c>
      <c r="F125" s="28" t="str">
        <f aca="false">IF(OR(B125="",D125=0),"",SUMIFS(上位10件データ!$G:$G,上位10件データ!$A:$A,$B125))</f>
        <v/>
      </c>
      <c r="G125" s="28" t="str">
        <f aca="false">IF(OR(B125="",D125=0),"",AVERAGEIFS(上位10件データ!$E:$E,上位10件データ!$A:$A,$B125))</f>
        <v/>
      </c>
      <c r="H125" s="19" t="str">
        <f aca="false">IF(OR(B125="",D125=0),"",COUNTIFS(上位10件データ!$A:$A,$B125,上位10件データ!$F:$F,"&gt;=1000"))</f>
        <v/>
      </c>
      <c r="I125" s="19" t="str">
        <f aca="false">IF(OR(B125="",D125=0),"",COUNTIFS(上位10件データ!$A:$A,$B125,上位10件データ!$F:$F,"&lt;100"))</f>
        <v/>
      </c>
      <c r="J125" s="19" t="str">
        <f aca="false">IF(E125="","",COUNTIF(L125:O125,"○")+IF(P125&gt;=0.5,1,0))</f>
        <v/>
      </c>
      <c r="K125" s="29" t="str">
        <f aca="false">IF(J125="","",IF(J125&gt;=設定!$B$19,"◎ 有力",IF(J125&gt;=設定!$B$20,"○ 候補",IF(J125&gt;=3,"△ 要検討","× 見送り"))))</f>
        <v/>
      </c>
      <c r="L125" s="19" t="str">
        <f aca="false">IF(E125="","",IF(E125&gt;=設定!$B$14,"○","×"))</f>
        <v/>
      </c>
      <c r="M125" s="19" t="str">
        <f aca="false">IF(H125="","",IF(H125&lt;=設定!$B$15,"○","×"))</f>
        <v/>
      </c>
      <c r="N125" s="19" t="str">
        <f aca="false">IF(I125="","",IF(I125&gt;=設定!$B$16,"○","×"))</f>
        <v/>
      </c>
      <c r="O125" s="19" t="str">
        <f aca="false">IF(G125="","",IF(AND(G125&gt;=設定!$B$17,G125&lt;=設定!$B$18),"○","×"))</f>
        <v/>
      </c>
      <c r="P125" s="30" t="str">
        <f aca="false">IF(OR(B125="",D125=0),"",COUNTIFS(上位10件データ!$A:$A,$B125,上位10件データ!$H:$H,"はい")/D125)</f>
        <v/>
      </c>
      <c r="Q125" s="22"/>
    </row>
    <row r="126" customFormat="false" ht="15" hidden="false" customHeight="true" outlineLevel="0" collapsed="false">
      <c r="A126" s="19" t="str">
        <f aca="false">IF(B126="","",ROW()-1)</f>
        <v/>
      </c>
      <c r="B126" s="22"/>
      <c r="C126" s="9"/>
      <c r="D126" s="19" t="str">
        <f aca="false">IF(B126="","",COUNTIFS(上位10件データ!$A:$A,$B126))</f>
        <v/>
      </c>
      <c r="E126" s="28" t="str">
        <f aca="false">IF(OR(B126="",D126=0),"",AVERAGEIFS(上位10件データ!$G:$G,上位10件データ!$A:$A,$B126))</f>
        <v/>
      </c>
      <c r="F126" s="28" t="str">
        <f aca="false">IF(OR(B126="",D126=0),"",SUMIFS(上位10件データ!$G:$G,上位10件データ!$A:$A,$B126))</f>
        <v/>
      </c>
      <c r="G126" s="28" t="str">
        <f aca="false">IF(OR(B126="",D126=0),"",AVERAGEIFS(上位10件データ!$E:$E,上位10件データ!$A:$A,$B126))</f>
        <v/>
      </c>
      <c r="H126" s="19" t="str">
        <f aca="false">IF(OR(B126="",D126=0),"",COUNTIFS(上位10件データ!$A:$A,$B126,上位10件データ!$F:$F,"&gt;=1000"))</f>
        <v/>
      </c>
      <c r="I126" s="19" t="str">
        <f aca="false">IF(OR(B126="",D126=0),"",COUNTIFS(上位10件データ!$A:$A,$B126,上位10件データ!$F:$F,"&lt;100"))</f>
        <v/>
      </c>
      <c r="J126" s="19" t="str">
        <f aca="false">IF(E126="","",COUNTIF(L126:O126,"○")+IF(P126&gt;=0.5,1,0))</f>
        <v/>
      </c>
      <c r="K126" s="29" t="str">
        <f aca="false">IF(J126="","",IF(J126&gt;=設定!$B$19,"◎ 有力",IF(J126&gt;=設定!$B$20,"○ 候補",IF(J126&gt;=3,"△ 要検討","× 見送り"))))</f>
        <v/>
      </c>
      <c r="L126" s="19" t="str">
        <f aca="false">IF(E126="","",IF(E126&gt;=設定!$B$14,"○","×"))</f>
        <v/>
      </c>
      <c r="M126" s="19" t="str">
        <f aca="false">IF(H126="","",IF(H126&lt;=設定!$B$15,"○","×"))</f>
        <v/>
      </c>
      <c r="N126" s="19" t="str">
        <f aca="false">IF(I126="","",IF(I126&gt;=設定!$B$16,"○","×"))</f>
        <v/>
      </c>
      <c r="O126" s="19" t="str">
        <f aca="false">IF(G126="","",IF(AND(G126&gt;=設定!$B$17,G126&lt;=設定!$B$18),"○","×"))</f>
        <v/>
      </c>
      <c r="P126" s="30" t="str">
        <f aca="false">IF(OR(B126="",D126=0),"",COUNTIFS(上位10件データ!$A:$A,$B126,上位10件データ!$H:$H,"はい")/D126)</f>
        <v/>
      </c>
      <c r="Q126" s="22"/>
    </row>
    <row r="127" customFormat="false" ht="15" hidden="false" customHeight="true" outlineLevel="0" collapsed="false">
      <c r="A127" s="19" t="str">
        <f aca="false">IF(B127="","",ROW()-1)</f>
        <v/>
      </c>
      <c r="B127" s="22"/>
      <c r="C127" s="9"/>
      <c r="D127" s="19" t="str">
        <f aca="false">IF(B127="","",COUNTIFS(上位10件データ!$A:$A,$B127))</f>
        <v/>
      </c>
      <c r="E127" s="28" t="str">
        <f aca="false">IF(OR(B127="",D127=0),"",AVERAGEIFS(上位10件データ!$G:$G,上位10件データ!$A:$A,$B127))</f>
        <v/>
      </c>
      <c r="F127" s="28" t="str">
        <f aca="false">IF(OR(B127="",D127=0),"",SUMIFS(上位10件データ!$G:$G,上位10件データ!$A:$A,$B127))</f>
        <v/>
      </c>
      <c r="G127" s="28" t="str">
        <f aca="false">IF(OR(B127="",D127=0),"",AVERAGEIFS(上位10件データ!$E:$E,上位10件データ!$A:$A,$B127))</f>
        <v/>
      </c>
      <c r="H127" s="19" t="str">
        <f aca="false">IF(OR(B127="",D127=0),"",COUNTIFS(上位10件データ!$A:$A,$B127,上位10件データ!$F:$F,"&gt;=1000"))</f>
        <v/>
      </c>
      <c r="I127" s="19" t="str">
        <f aca="false">IF(OR(B127="",D127=0),"",COUNTIFS(上位10件データ!$A:$A,$B127,上位10件データ!$F:$F,"&lt;100"))</f>
        <v/>
      </c>
      <c r="J127" s="19" t="str">
        <f aca="false">IF(E127="","",COUNTIF(L127:O127,"○")+IF(P127&gt;=0.5,1,0))</f>
        <v/>
      </c>
      <c r="K127" s="29" t="str">
        <f aca="false">IF(J127="","",IF(J127&gt;=設定!$B$19,"◎ 有力",IF(J127&gt;=設定!$B$20,"○ 候補",IF(J127&gt;=3,"△ 要検討","× 見送り"))))</f>
        <v/>
      </c>
      <c r="L127" s="19" t="str">
        <f aca="false">IF(E127="","",IF(E127&gt;=設定!$B$14,"○","×"))</f>
        <v/>
      </c>
      <c r="M127" s="19" t="str">
        <f aca="false">IF(H127="","",IF(H127&lt;=設定!$B$15,"○","×"))</f>
        <v/>
      </c>
      <c r="N127" s="19" t="str">
        <f aca="false">IF(I127="","",IF(I127&gt;=設定!$B$16,"○","×"))</f>
        <v/>
      </c>
      <c r="O127" s="19" t="str">
        <f aca="false">IF(G127="","",IF(AND(G127&gt;=設定!$B$17,G127&lt;=設定!$B$18),"○","×"))</f>
        <v/>
      </c>
      <c r="P127" s="30" t="str">
        <f aca="false">IF(OR(B127="",D127=0),"",COUNTIFS(上位10件データ!$A:$A,$B127,上位10件データ!$H:$H,"はい")/D127)</f>
        <v/>
      </c>
      <c r="Q127" s="22"/>
    </row>
    <row r="128" customFormat="false" ht="15" hidden="false" customHeight="true" outlineLevel="0" collapsed="false">
      <c r="A128" s="19" t="str">
        <f aca="false">IF(B128="","",ROW()-1)</f>
        <v/>
      </c>
      <c r="B128" s="22"/>
      <c r="C128" s="9"/>
      <c r="D128" s="19" t="str">
        <f aca="false">IF(B128="","",COUNTIFS(上位10件データ!$A:$A,$B128))</f>
        <v/>
      </c>
      <c r="E128" s="28" t="str">
        <f aca="false">IF(OR(B128="",D128=0),"",AVERAGEIFS(上位10件データ!$G:$G,上位10件データ!$A:$A,$B128))</f>
        <v/>
      </c>
      <c r="F128" s="28" t="str">
        <f aca="false">IF(OR(B128="",D128=0),"",SUMIFS(上位10件データ!$G:$G,上位10件データ!$A:$A,$B128))</f>
        <v/>
      </c>
      <c r="G128" s="28" t="str">
        <f aca="false">IF(OR(B128="",D128=0),"",AVERAGEIFS(上位10件データ!$E:$E,上位10件データ!$A:$A,$B128))</f>
        <v/>
      </c>
      <c r="H128" s="19" t="str">
        <f aca="false">IF(OR(B128="",D128=0),"",COUNTIFS(上位10件データ!$A:$A,$B128,上位10件データ!$F:$F,"&gt;=1000"))</f>
        <v/>
      </c>
      <c r="I128" s="19" t="str">
        <f aca="false">IF(OR(B128="",D128=0),"",COUNTIFS(上位10件データ!$A:$A,$B128,上位10件データ!$F:$F,"&lt;100"))</f>
        <v/>
      </c>
      <c r="J128" s="19" t="str">
        <f aca="false">IF(E128="","",COUNTIF(L128:O128,"○")+IF(P128&gt;=0.5,1,0))</f>
        <v/>
      </c>
      <c r="K128" s="29" t="str">
        <f aca="false">IF(J128="","",IF(J128&gt;=設定!$B$19,"◎ 有力",IF(J128&gt;=設定!$B$20,"○ 候補",IF(J128&gt;=3,"△ 要検討","× 見送り"))))</f>
        <v/>
      </c>
      <c r="L128" s="19" t="str">
        <f aca="false">IF(E128="","",IF(E128&gt;=設定!$B$14,"○","×"))</f>
        <v/>
      </c>
      <c r="M128" s="19" t="str">
        <f aca="false">IF(H128="","",IF(H128&lt;=設定!$B$15,"○","×"))</f>
        <v/>
      </c>
      <c r="N128" s="19" t="str">
        <f aca="false">IF(I128="","",IF(I128&gt;=設定!$B$16,"○","×"))</f>
        <v/>
      </c>
      <c r="O128" s="19" t="str">
        <f aca="false">IF(G128="","",IF(AND(G128&gt;=設定!$B$17,G128&lt;=設定!$B$18),"○","×"))</f>
        <v/>
      </c>
      <c r="P128" s="30" t="str">
        <f aca="false">IF(OR(B128="",D128=0),"",COUNTIFS(上位10件データ!$A:$A,$B128,上位10件データ!$H:$H,"はい")/D128)</f>
        <v/>
      </c>
      <c r="Q128" s="22"/>
    </row>
    <row r="129" customFormat="false" ht="15" hidden="false" customHeight="true" outlineLevel="0" collapsed="false">
      <c r="A129" s="19" t="str">
        <f aca="false">IF(B129="","",ROW()-1)</f>
        <v/>
      </c>
      <c r="B129" s="22"/>
      <c r="C129" s="9"/>
      <c r="D129" s="19" t="str">
        <f aca="false">IF(B129="","",COUNTIFS(上位10件データ!$A:$A,$B129))</f>
        <v/>
      </c>
      <c r="E129" s="28" t="str">
        <f aca="false">IF(OR(B129="",D129=0),"",AVERAGEIFS(上位10件データ!$G:$G,上位10件データ!$A:$A,$B129))</f>
        <v/>
      </c>
      <c r="F129" s="28" t="str">
        <f aca="false">IF(OR(B129="",D129=0),"",SUMIFS(上位10件データ!$G:$G,上位10件データ!$A:$A,$B129))</f>
        <v/>
      </c>
      <c r="G129" s="28" t="str">
        <f aca="false">IF(OR(B129="",D129=0),"",AVERAGEIFS(上位10件データ!$E:$E,上位10件データ!$A:$A,$B129))</f>
        <v/>
      </c>
      <c r="H129" s="19" t="str">
        <f aca="false">IF(OR(B129="",D129=0),"",COUNTIFS(上位10件データ!$A:$A,$B129,上位10件データ!$F:$F,"&gt;=1000"))</f>
        <v/>
      </c>
      <c r="I129" s="19" t="str">
        <f aca="false">IF(OR(B129="",D129=0),"",COUNTIFS(上位10件データ!$A:$A,$B129,上位10件データ!$F:$F,"&lt;100"))</f>
        <v/>
      </c>
      <c r="J129" s="19" t="str">
        <f aca="false">IF(E129="","",COUNTIF(L129:O129,"○")+IF(P129&gt;=0.5,1,0))</f>
        <v/>
      </c>
      <c r="K129" s="29" t="str">
        <f aca="false">IF(J129="","",IF(J129&gt;=設定!$B$19,"◎ 有力",IF(J129&gt;=設定!$B$20,"○ 候補",IF(J129&gt;=3,"△ 要検討","× 見送り"))))</f>
        <v/>
      </c>
      <c r="L129" s="19" t="str">
        <f aca="false">IF(E129="","",IF(E129&gt;=設定!$B$14,"○","×"))</f>
        <v/>
      </c>
      <c r="M129" s="19" t="str">
        <f aca="false">IF(H129="","",IF(H129&lt;=設定!$B$15,"○","×"))</f>
        <v/>
      </c>
      <c r="N129" s="19" t="str">
        <f aca="false">IF(I129="","",IF(I129&gt;=設定!$B$16,"○","×"))</f>
        <v/>
      </c>
      <c r="O129" s="19" t="str">
        <f aca="false">IF(G129="","",IF(AND(G129&gt;=設定!$B$17,G129&lt;=設定!$B$18),"○","×"))</f>
        <v/>
      </c>
      <c r="P129" s="30" t="str">
        <f aca="false">IF(OR(B129="",D129=0),"",COUNTIFS(上位10件データ!$A:$A,$B129,上位10件データ!$H:$H,"はい")/D129)</f>
        <v/>
      </c>
      <c r="Q129" s="22"/>
    </row>
    <row r="130" customFormat="false" ht="15" hidden="false" customHeight="true" outlineLevel="0" collapsed="false">
      <c r="A130" s="19" t="str">
        <f aca="false">IF(B130="","",ROW()-1)</f>
        <v/>
      </c>
      <c r="B130" s="22"/>
      <c r="C130" s="9"/>
      <c r="D130" s="19" t="str">
        <f aca="false">IF(B130="","",COUNTIFS(上位10件データ!$A:$A,$B130))</f>
        <v/>
      </c>
      <c r="E130" s="28" t="str">
        <f aca="false">IF(OR(B130="",D130=0),"",AVERAGEIFS(上位10件データ!$G:$G,上位10件データ!$A:$A,$B130))</f>
        <v/>
      </c>
      <c r="F130" s="28" t="str">
        <f aca="false">IF(OR(B130="",D130=0),"",SUMIFS(上位10件データ!$G:$G,上位10件データ!$A:$A,$B130))</f>
        <v/>
      </c>
      <c r="G130" s="28" t="str">
        <f aca="false">IF(OR(B130="",D130=0),"",AVERAGEIFS(上位10件データ!$E:$E,上位10件データ!$A:$A,$B130))</f>
        <v/>
      </c>
      <c r="H130" s="19" t="str">
        <f aca="false">IF(OR(B130="",D130=0),"",COUNTIFS(上位10件データ!$A:$A,$B130,上位10件データ!$F:$F,"&gt;=1000"))</f>
        <v/>
      </c>
      <c r="I130" s="19" t="str">
        <f aca="false">IF(OR(B130="",D130=0),"",COUNTIFS(上位10件データ!$A:$A,$B130,上位10件データ!$F:$F,"&lt;100"))</f>
        <v/>
      </c>
      <c r="J130" s="19" t="str">
        <f aca="false">IF(E130="","",COUNTIF(L130:O130,"○")+IF(P130&gt;=0.5,1,0))</f>
        <v/>
      </c>
      <c r="K130" s="29" t="str">
        <f aca="false">IF(J130="","",IF(J130&gt;=設定!$B$19,"◎ 有力",IF(J130&gt;=設定!$B$20,"○ 候補",IF(J130&gt;=3,"△ 要検討","× 見送り"))))</f>
        <v/>
      </c>
      <c r="L130" s="19" t="str">
        <f aca="false">IF(E130="","",IF(E130&gt;=設定!$B$14,"○","×"))</f>
        <v/>
      </c>
      <c r="M130" s="19" t="str">
        <f aca="false">IF(H130="","",IF(H130&lt;=設定!$B$15,"○","×"))</f>
        <v/>
      </c>
      <c r="N130" s="19" t="str">
        <f aca="false">IF(I130="","",IF(I130&gt;=設定!$B$16,"○","×"))</f>
        <v/>
      </c>
      <c r="O130" s="19" t="str">
        <f aca="false">IF(G130="","",IF(AND(G130&gt;=設定!$B$17,G130&lt;=設定!$B$18),"○","×"))</f>
        <v/>
      </c>
      <c r="P130" s="30" t="str">
        <f aca="false">IF(OR(B130="",D130=0),"",COUNTIFS(上位10件データ!$A:$A,$B130,上位10件データ!$H:$H,"はい")/D130)</f>
        <v/>
      </c>
      <c r="Q130" s="22"/>
    </row>
    <row r="131" customFormat="false" ht="15" hidden="false" customHeight="true" outlineLevel="0" collapsed="false">
      <c r="A131" s="19" t="str">
        <f aca="false">IF(B131="","",ROW()-1)</f>
        <v/>
      </c>
      <c r="B131" s="22"/>
      <c r="C131" s="9"/>
      <c r="D131" s="19" t="str">
        <f aca="false">IF(B131="","",COUNTIFS(上位10件データ!$A:$A,$B131))</f>
        <v/>
      </c>
      <c r="E131" s="28" t="str">
        <f aca="false">IF(OR(B131="",D131=0),"",AVERAGEIFS(上位10件データ!$G:$G,上位10件データ!$A:$A,$B131))</f>
        <v/>
      </c>
      <c r="F131" s="28" t="str">
        <f aca="false">IF(OR(B131="",D131=0),"",SUMIFS(上位10件データ!$G:$G,上位10件データ!$A:$A,$B131))</f>
        <v/>
      </c>
      <c r="G131" s="28" t="str">
        <f aca="false">IF(OR(B131="",D131=0),"",AVERAGEIFS(上位10件データ!$E:$E,上位10件データ!$A:$A,$B131))</f>
        <v/>
      </c>
      <c r="H131" s="19" t="str">
        <f aca="false">IF(OR(B131="",D131=0),"",COUNTIFS(上位10件データ!$A:$A,$B131,上位10件データ!$F:$F,"&gt;=1000"))</f>
        <v/>
      </c>
      <c r="I131" s="19" t="str">
        <f aca="false">IF(OR(B131="",D131=0),"",COUNTIFS(上位10件データ!$A:$A,$B131,上位10件データ!$F:$F,"&lt;100"))</f>
        <v/>
      </c>
      <c r="J131" s="19" t="str">
        <f aca="false">IF(E131="","",COUNTIF(L131:O131,"○")+IF(P131&gt;=0.5,1,0))</f>
        <v/>
      </c>
      <c r="K131" s="29" t="str">
        <f aca="false">IF(J131="","",IF(J131&gt;=設定!$B$19,"◎ 有力",IF(J131&gt;=設定!$B$20,"○ 候補",IF(J131&gt;=3,"△ 要検討","× 見送り"))))</f>
        <v/>
      </c>
      <c r="L131" s="19" t="str">
        <f aca="false">IF(E131="","",IF(E131&gt;=設定!$B$14,"○","×"))</f>
        <v/>
      </c>
      <c r="M131" s="19" t="str">
        <f aca="false">IF(H131="","",IF(H131&lt;=設定!$B$15,"○","×"))</f>
        <v/>
      </c>
      <c r="N131" s="19" t="str">
        <f aca="false">IF(I131="","",IF(I131&gt;=設定!$B$16,"○","×"))</f>
        <v/>
      </c>
      <c r="O131" s="19" t="str">
        <f aca="false">IF(G131="","",IF(AND(G131&gt;=設定!$B$17,G131&lt;=設定!$B$18),"○","×"))</f>
        <v/>
      </c>
      <c r="P131" s="30" t="str">
        <f aca="false">IF(OR(B131="",D131=0),"",COUNTIFS(上位10件データ!$A:$A,$B131,上位10件データ!$H:$H,"はい")/D131)</f>
        <v/>
      </c>
      <c r="Q131" s="22"/>
    </row>
    <row r="132" customFormat="false" ht="15" hidden="false" customHeight="true" outlineLevel="0" collapsed="false">
      <c r="A132" s="19" t="str">
        <f aca="false">IF(B132="","",ROW()-1)</f>
        <v/>
      </c>
      <c r="B132" s="22"/>
      <c r="C132" s="9"/>
      <c r="D132" s="19" t="str">
        <f aca="false">IF(B132="","",COUNTIFS(上位10件データ!$A:$A,$B132))</f>
        <v/>
      </c>
      <c r="E132" s="28" t="str">
        <f aca="false">IF(OR(B132="",D132=0),"",AVERAGEIFS(上位10件データ!$G:$G,上位10件データ!$A:$A,$B132))</f>
        <v/>
      </c>
      <c r="F132" s="28" t="str">
        <f aca="false">IF(OR(B132="",D132=0),"",SUMIFS(上位10件データ!$G:$G,上位10件データ!$A:$A,$B132))</f>
        <v/>
      </c>
      <c r="G132" s="28" t="str">
        <f aca="false">IF(OR(B132="",D132=0),"",AVERAGEIFS(上位10件データ!$E:$E,上位10件データ!$A:$A,$B132))</f>
        <v/>
      </c>
      <c r="H132" s="19" t="str">
        <f aca="false">IF(OR(B132="",D132=0),"",COUNTIFS(上位10件データ!$A:$A,$B132,上位10件データ!$F:$F,"&gt;=1000"))</f>
        <v/>
      </c>
      <c r="I132" s="19" t="str">
        <f aca="false">IF(OR(B132="",D132=0),"",COUNTIFS(上位10件データ!$A:$A,$B132,上位10件データ!$F:$F,"&lt;100"))</f>
        <v/>
      </c>
      <c r="J132" s="19" t="str">
        <f aca="false">IF(E132="","",COUNTIF(L132:O132,"○")+IF(P132&gt;=0.5,1,0))</f>
        <v/>
      </c>
      <c r="K132" s="29" t="str">
        <f aca="false">IF(J132="","",IF(J132&gt;=設定!$B$19,"◎ 有力",IF(J132&gt;=設定!$B$20,"○ 候補",IF(J132&gt;=3,"△ 要検討","× 見送り"))))</f>
        <v/>
      </c>
      <c r="L132" s="19" t="str">
        <f aca="false">IF(E132="","",IF(E132&gt;=設定!$B$14,"○","×"))</f>
        <v/>
      </c>
      <c r="M132" s="19" t="str">
        <f aca="false">IF(H132="","",IF(H132&lt;=設定!$B$15,"○","×"))</f>
        <v/>
      </c>
      <c r="N132" s="19" t="str">
        <f aca="false">IF(I132="","",IF(I132&gt;=設定!$B$16,"○","×"))</f>
        <v/>
      </c>
      <c r="O132" s="19" t="str">
        <f aca="false">IF(G132="","",IF(AND(G132&gt;=設定!$B$17,G132&lt;=設定!$B$18),"○","×"))</f>
        <v/>
      </c>
      <c r="P132" s="30" t="str">
        <f aca="false">IF(OR(B132="",D132=0),"",COUNTIFS(上位10件データ!$A:$A,$B132,上位10件データ!$H:$H,"はい")/D132)</f>
        <v/>
      </c>
      <c r="Q132" s="22"/>
    </row>
    <row r="133" customFormat="false" ht="15" hidden="false" customHeight="true" outlineLevel="0" collapsed="false">
      <c r="A133" s="19" t="str">
        <f aca="false">IF(B133="","",ROW()-1)</f>
        <v/>
      </c>
      <c r="B133" s="22"/>
      <c r="C133" s="9"/>
      <c r="D133" s="19" t="str">
        <f aca="false">IF(B133="","",COUNTIFS(上位10件データ!$A:$A,$B133))</f>
        <v/>
      </c>
      <c r="E133" s="28" t="str">
        <f aca="false">IF(OR(B133="",D133=0),"",AVERAGEIFS(上位10件データ!$G:$G,上位10件データ!$A:$A,$B133))</f>
        <v/>
      </c>
      <c r="F133" s="28" t="str">
        <f aca="false">IF(OR(B133="",D133=0),"",SUMIFS(上位10件データ!$G:$G,上位10件データ!$A:$A,$B133))</f>
        <v/>
      </c>
      <c r="G133" s="28" t="str">
        <f aca="false">IF(OR(B133="",D133=0),"",AVERAGEIFS(上位10件データ!$E:$E,上位10件データ!$A:$A,$B133))</f>
        <v/>
      </c>
      <c r="H133" s="19" t="str">
        <f aca="false">IF(OR(B133="",D133=0),"",COUNTIFS(上位10件データ!$A:$A,$B133,上位10件データ!$F:$F,"&gt;=1000"))</f>
        <v/>
      </c>
      <c r="I133" s="19" t="str">
        <f aca="false">IF(OR(B133="",D133=0),"",COUNTIFS(上位10件データ!$A:$A,$B133,上位10件データ!$F:$F,"&lt;100"))</f>
        <v/>
      </c>
      <c r="J133" s="19" t="str">
        <f aca="false">IF(E133="","",COUNTIF(L133:O133,"○")+IF(P133&gt;=0.5,1,0))</f>
        <v/>
      </c>
      <c r="K133" s="29" t="str">
        <f aca="false">IF(J133="","",IF(J133&gt;=設定!$B$19,"◎ 有力",IF(J133&gt;=設定!$B$20,"○ 候補",IF(J133&gt;=3,"△ 要検討","× 見送り"))))</f>
        <v/>
      </c>
      <c r="L133" s="19" t="str">
        <f aca="false">IF(E133="","",IF(E133&gt;=設定!$B$14,"○","×"))</f>
        <v/>
      </c>
      <c r="M133" s="19" t="str">
        <f aca="false">IF(H133="","",IF(H133&lt;=設定!$B$15,"○","×"))</f>
        <v/>
      </c>
      <c r="N133" s="19" t="str">
        <f aca="false">IF(I133="","",IF(I133&gt;=設定!$B$16,"○","×"))</f>
        <v/>
      </c>
      <c r="O133" s="19" t="str">
        <f aca="false">IF(G133="","",IF(AND(G133&gt;=設定!$B$17,G133&lt;=設定!$B$18),"○","×"))</f>
        <v/>
      </c>
      <c r="P133" s="30" t="str">
        <f aca="false">IF(OR(B133="",D133=0),"",COUNTIFS(上位10件データ!$A:$A,$B133,上位10件データ!$H:$H,"はい")/D133)</f>
        <v/>
      </c>
      <c r="Q133" s="22"/>
    </row>
    <row r="134" customFormat="false" ht="15" hidden="false" customHeight="true" outlineLevel="0" collapsed="false">
      <c r="A134" s="19" t="str">
        <f aca="false">IF(B134="","",ROW()-1)</f>
        <v/>
      </c>
      <c r="B134" s="22"/>
      <c r="C134" s="9"/>
      <c r="D134" s="19" t="str">
        <f aca="false">IF(B134="","",COUNTIFS(上位10件データ!$A:$A,$B134))</f>
        <v/>
      </c>
      <c r="E134" s="28" t="str">
        <f aca="false">IF(OR(B134="",D134=0),"",AVERAGEIFS(上位10件データ!$G:$G,上位10件データ!$A:$A,$B134))</f>
        <v/>
      </c>
      <c r="F134" s="28" t="str">
        <f aca="false">IF(OR(B134="",D134=0),"",SUMIFS(上位10件データ!$G:$G,上位10件データ!$A:$A,$B134))</f>
        <v/>
      </c>
      <c r="G134" s="28" t="str">
        <f aca="false">IF(OR(B134="",D134=0),"",AVERAGEIFS(上位10件データ!$E:$E,上位10件データ!$A:$A,$B134))</f>
        <v/>
      </c>
      <c r="H134" s="19" t="str">
        <f aca="false">IF(OR(B134="",D134=0),"",COUNTIFS(上位10件データ!$A:$A,$B134,上位10件データ!$F:$F,"&gt;=1000"))</f>
        <v/>
      </c>
      <c r="I134" s="19" t="str">
        <f aca="false">IF(OR(B134="",D134=0),"",COUNTIFS(上位10件データ!$A:$A,$B134,上位10件データ!$F:$F,"&lt;100"))</f>
        <v/>
      </c>
      <c r="J134" s="19" t="str">
        <f aca="false">IF(E134="","",COUNTIF(L134:O134,"○")+IF(P134&gt;=0.5,1,0))</f>
        <v/>
      </c>
      <c r="K134" s="29" t="str">
        <f aca="false">IF(J134="","",IF(J134&gt;=設定!$B$19,"◎ 有力",IF(J134&gt;=設定!$B$20,"○ 候補",IF(J134&gt;=3,"△ 要検討","× 見送り"))))</f>
        <v/>
      </c>
      <c r="L134" s="19" t="str">
        <f aca="false">IF(E134="","",IF(E134&gt;=設定!$B$14,"○","×"))</f>
        <v/>
      </c>
      <c r="M134" s="19" t="str">
        <f aca="false">IF(H134="","",IF(H134&lt;=設定!$B$15,"○","×"))</f>
        <v/>
      </c>
      <c r="N134" s="19" t="str">
        <f aca="false">IF(I134="","",IF(I134&gt;=設定!$B$16,"○","×"))</f>
        <v/>
      </c>
      <c r="O134" s="19" t="str">
        <f aca="false">IF(G134="","",IF(AND(G134&gt;=設定!$B$17,G134&lt;=設定!$B$18),"○","×"))</f>
        <v/>
      </c>
      <c r="P134" s="30" t="str">
        <f aca="false">IF(OR(B134="",D134=0),"",COUNTIFS(上位10件データ!$A:$A,$B134,上位10件データ!$H:$H,"はい")/D134)</f>
        <v/>
      </c>
      <c r="Q134" s="22"/>
    </row>
    <row r="135" customFormat="false" ht="15" hidden="false" customHeight="true" outlineLevel="0" collapsed="false">
      <c r="A135" s="19" t="str">
        <f aca="false">IF(B135="","",ROW()-1)</f>
        <v/>
      </c>
      <c r="B135" s="22"/>
      <c r="C135" s="9"/>
      <c r="D135" s="19" t="str">
        <f aca="false">IF(B135="","",COUNTIFS(上位10件データ!$A:$A,$B135))</f>
        <v/>
      </c>
      <c r="E135" s="28" t="str">
        <f aca="false">IF(OR(B135="",D135=0),"",AVERAGEIFS(上位10件データ!$G:$G,上位10件データ!$A:$A,$B135))</f>
        <v/>
      </c>
      <c r="F135" s="28" t="str">
        <f aca="false">IF(OR(B135="",D135=0),"",SUMIFS(上位10件データ!$G:$G,上位10件データ!$A:$A,$B135))</f>
        <v/>
      </c>
      <c r="G135" s="28" t="str">
        <f aca="false">IF(OR(B135="",D135=0),"",AVERAGEIFS(上位10件データ!$E:$E,上位10件データ!$A:$A,$B135))</f>
        <v/>
      </c>
      <c r="H135" s="19" t="str">
        <f aca="false">IF(OR(B135="",D135=0),"",COUNTIFS(上位10件データ!$A:$A,$B135,上位10件データ!$F:$F,"&gt;=1000"))</f>
        <v/>
      </c>
      <c r="I135" s="19" t="str">
        <f aca="false">IF(OR(B135="",D135=0),"",COUNTIFS(上位10件データ!$A:$A,$B135,上位10件データ!$F:$F,"&lt;100"))</f>
        <v/>
      </c>
      <c r="J135" s="19" t="str">
        <f aca="false">IF(E135="","",COUNTIF(L135:O135,"○")+IF(P135&gt;=0.5,1,0))</f>
        <v/>
      </c>
      <c r="K135" s="29" t="str">
        <f aca="false">IF(J135="","",IF(J135&gt;=設定!$B$19,"◎ 有力",IF(J135&gt;=設定!$B$20,"○ 候補",IF(J135&gt;=3,"△ 要検討","× 見送り"))))</f>
        <v/>
      </c>
      <c r="L135" s="19" t="str">
        <f aca="false">IF(E135="","",IF(E135&gt;=設定!$B$14,"○","×"))</f>
        <v/>
      </c>
      <c r="M135" s="19" t="str">
        <f aca="false">IF(H135="","",IF(H135&lt;=設定!$B$15,"○","×"))</f>
        <v/>
      </c>
      <c r="N135" s="19" t="str">
        <f aca="false">IF(I135="","",IF(I135&gt;=設定!$B$16,"○","×"))</f>
        <v/>
      </c>
      <c r="O135" s="19" t="str">
        <f aca="false">IF(G135="","",IF(AND(G135&gt;=設定!$B$17,G135&lt;=設定!$B$18),"○","×"))</f>
        <v/>
      </c>
      <c r="P135" s="30" t="str">
        <f aca="false">IF(OR(B135="",D135=0),"",COUNTIFS(上位10件データ!$A:$A,$B135,上位10件データ!$H:$H,"はい")/D135)</f>
        <v/>
      </c>
      <c r="Q135" s="22"/>
    </row>
    <row r="136" customFormat="false" ht="15" hidden="false" customHeight="true" outlineLevel="0" collapsed="false">
      <c r="A136" s="19" t="str">
        <f aca="false">IF(B136="","",ROW()-1)</f>
        <v/>
      </c>
      <c r="B136" s="22"/>
      <c r="C136" s="9"/>
      <c r="D136" s="19" t="str">
        <f aca="false">IF(B136="","",COUNTIFS(上位10件データ!$A:$A,$B136))</f>
        <v/>
      </c>
      <c r="E136" s="28" t="str">
        <f aca="false">IF(OR(B136="",D136=0),"",AVERAGEIFS(上位10件データ!$G:$G,上位10件データ!$A:$A,$B136))</f>
        <v/>
      </c>
      <c r="F136" s="28" t="str">
        <f aca="false">IF(OR(B136="",D136=0),"",SUMIFS(上位10件データ!$G:$G,上位10件データ!$A:$A,$B136))</f>
        <v/>
      </c>
      <c r="G136" s="28" t="str">
        <f aca="false">IF(OR(B136="",D136=0),"",AVERAGEIFS(上位10件データ!$E:$E,上位10件データ!$A:$A,$B136))</f>
        <v/>
      </c>
      <c r="H136" s="19" t="str">
        <f aca="false">IF(OR(B136="",D136=0),"",COUNTIFS(上位10件データ!$A:$A,$B136,上位10件データ!$F:$F,"&gt;=1000"))</f>
        <v/>
      </c>
      <c r="I136" s="19" t="str">
        <f aca="false">IF(OR(B136="",D136=0),"",COUNTIFS(上位10件データ!$A:$A,$B136,上位10件データ!$F:$F,"&lt;100"))</f>
        <v/>
      </c>
      <c r="J136" s="19" t="str">
        <f aca="false">IF(E136="","",COUNTIF(L136:O136,"○")+IF(P136&gt;=0.5,1,0))</f>
        <v/>
      </c>
      <c r="K136" s="29" t="str">
        <f aca="false">IF(J136="","",IF(J136&gt;=設定!$B$19,"◎ 有力",IF(J136&gt;=設定!$B$20,"○ 候補",IF(J136&gt;=3,"△ 要検討","× 見送り"))))</f>
        <v/>
      </c>
      <c r="L136" s="19" t="str">
        <f aca="false">IF(E136="","",IF(E136&gt;=設定!$B$14,"○","×"))</f>
        <v/>
      </c>
      <c r="M136" s="19" t="str">
        <f aca="false">IF(H136="","",IF(H136&lt;=設定!$B$15,"○","×"))</f>
        <v/>
      </c>
      <c r="N136" s="19" t="str">
        <f aca="false">IF(I136="","",IF(I136&gt;=設定!$B$16,"○","×"))</f>
        <v/>
      </c>
      <c r="O136" s="19" t="str">
        <f aca="false">IF(G136="","",IF(AND(G136&gt;=設定!$B$17,G136&lt;=設定!$B$18),"○","×"))</f>
        <v/>
      </c>
      <c r="P136" s="30" t="str">
        <f aca="false">IF(OR(B136="",D136=0),"",COUNTIFS(上位10件データ!$A:$A,$B136,上位10件データ!$H:$H,"はい")/D136)</f>
        <v/>
      </c>
      <c r="Q136" s="22"/>
    </row>
    <row r="137" customFormat="false" ht="15" hidden="false" customHeight="true" outlineLevel="0" collapsed="false">
      <c r="A137" s="19" t="str">
        <f aca="false">IF(B137="","",ROW()-1)</f>
        <v/>
      </c>
      <c r="B137" s="22"/>
      <c r="C137" s="9"/>
      <c r="D137" s="19" t="str">
        <f aca="false">IF(B137="","",COUNTIFS(上位10件データ!$A:$A,$B137))</f>
        <v/>
      </c>
      <c r="E137" s="28" t="str">
        <f aca="false">IF(OR(B137="",D137=0),"",AVERAGEIFS(上位10件データ!$G:$G,上位10件データ!$A:$A,$B137))</f>
        <v/>
      </c>
      <c r="F137" s="28" t="str">
        <f aca="false">IF(OR(B137="",D137=0),"",SUMIFS(上位10件データ!$G:$G,上位10件データ!$A:$A,$B137))</f>
        <v/>
      </c>
      <c r="G137" s="28" t="str">
        <f aca="false">IF(OR(B137="",D137=0),"",AVERAGEIFS(上位10件データ!$E:$E,上位10件データ!$A:$A,$B137))</f>
        <v/>
      </c>
      <c r="H137" s="19" t="str">
        <f aca="false">IF(OR(B137="",D137=0),"",COUNTIFS(上位10件データ!$A:$A,$B137,上位10件データ!$F:$F,"&gt;=1000"))</f>
        <v/>
      </c>
      <c r="I137" s="19" t="str">
        <f aca="false">IF(OR(B137="",D137=0),"",COUNTIFS(上位10件データ!$A:$A,$B137,上位10件データ!$F:$F,"&lt;100"))</f>
        <v/>
      </c>
      <c r="J137" s="19" t="str">
        <f aca="false">IF(E137="","",COUNTIF(L137:O137,"○")+IF(P137&gt;=0.5,1,0))</f>
        <v/>
      </c>
      <c r="K137" s="29" t="str">
        <f aca="false">IF(J137="","",IF(J137&gt;=設定!$B$19,"◎ 有力",IF(J137&gt;=設定!$B$20,"○ 候補",IF(J137&gt;=3,"△ 要検討","× 見送り"))))</f>
        <v/>
      </c>
      <c r="L137" s="19" t="str">
        <f aca="false">IF(E137="","",IF(E137&gt;=設定!$B$14,"○","×"))</f>
        <v/>
      </c>
      <c r="M137" s="19" t="str">
        <f aca="false">IF(H137="","",IF(H137&lt;=設定!$B$15,"○","×"))</f>
        <v/>
      </c>
      <c r="N137" s="19" t="str">
        <f aca="false">IF(I137="","",IF(I137&gt;=設定!$B$16,"○","×"))</f>
        <v/>
      </c>
      <c r="O137" s="19" t="str">
        <f aca="false">IF(G137="","",IF(AND(G137&gt;=設定!$B$17,G137&lt;=設定!$B$18),"○","×"))</f>
        <v/>
      </c>
      <c r="P137" s="30" t="str">
        <f aca="false">IF(OR(B137="",D137=0),"",COUNTIFS(上位10件データ!$A:$A,$B137,上位10件データ!$H:$H,"はい")/D137)</f>
        <v/>
      </c>
      <c r="Q137" s="22"/>
    </row>
    <row r="138" customFormat="false" ht="15" hidden="false" customHeight="true" outlineLevel="0" collapsed="false">
      <c r="A138" s="19" t="str">
        <f aca="false">IF(B138="","",ROW()-1)</f>
        <v/>
      </c>
      <c r="B138" s="22"/>
      <c r="C138" s="9"/>
      <c r="D138" s="19" t="str">
        <f aca="false">IF(B138="","",COUNTIFS(上位10件データ!$A:$A,$B138))</f>
        <v/>
      </c>
      <c r="E138" s="28" t="str">
        <f aca="false">IF(OR(B138="",D138=0),"",AVERAGEIFS(上位10件データ!$G:$G,上位10件データ!$A:$A,$B138))</f>
        <v/>
      </c>
      <c r="F138" s="28" t="str">
        <f aca="false">IF(OR(B138="",D138=0),"",SUMIFS(上位10件データ!$G:$G,上位10件データ!$A:$A,$B138))</f>
        <v/>
      </c>
      <c r="G138" s="28" t="str">
        <f aca="false">IF(OR(B138="",D138=0),"",AVERAGEIFS(上位10件データ!$E:$E,上位10件データ!$A:$A,$B138))</f>
        <v/>
      </c>
      <c r="H138" s="19" t="str">
        <f aca="false">IF(OR(B138="",D138=0),"",COUNTIFS(上位10件データ!$A:$A,$B138,上位10件データ!$F:$F,"&gt;=1000"))</f>
        <v/>
      </c>
      <c r="I138" s="19" t="str">
        <f aca="false">IF(OR(B138="",D138=0),"",COUNTIFS(上位10件データ!$A:$A,$B138,上位10件データ!$F:$F,"&lt;100"))</f>
        <v/>
      </c>
      <c r="J138" s="19" t="str">
        <f aca="false">IF(E138="","",COUNTIF(L138:O138,"○")+IF(P138&gt;=0.5,1,0))</f>
        <v/>
      </c>
      <c r="K138" s="29" t="str">
        <f aca="false">IF(J138="","",IF(J138&gt;=設定!$B$19,"◎ 有力",IF(J138&gt;=設定!$B$20,"○ 候補",IF(J138&gt;=3,"△ 要検討","× 見送り"))))</f>
        <v/>
      </c>
      <c r="L138" s="19" t="str">
        <f aca="false">IF(E138="","",IF(E138&gt;=設定!$B$14,"○","×"))</f>
        <v/>
      </c>
      <c r="M138" s="19" t="str">
        <f aca="false">IF(H138="","",IF(H138&lt;=設定!$B$15,"○","×"))</f>
        <v/>
      </c>
      <c r="N138" s="19" t="str">
        <f aca="false">IF(I138="","",IF(I138&gt;=設定!$B$16,"○","×"))</f>
        <v/>
      </c>
      <c r="O138" s="19" t="str">
        <f aca="false">IF(G138="","",IF(AND(G138&gt;=設定!$B$17,G138&lt;=設定!$B$18),"○","×"))</f>
        <v/>
      </c>
      <c r="P138" s="30" t="str">
        <f aca="false">IF(OR(B138="",D138=0),"",COUNTIFS(上位10件データ!$A:$A,$B138,上位10件データ!$H:$H,"はい")/D138)</f>
        <v/>
      </c>
      <c r="Q138" s="22"/>
    </row>
    <row r="139" customFormat="false" ht="15" hidden="false" customHeight="true" outlineLevel="0" collapsed="false">
      <c r="A139" s="19" t="str">
        <f aca="false">IF(B139="","",ROW()-1)</f>
        <v/>
      </c>
      <c r="B139" s="22"/>
      <c r="C139" s="9"/>
      <c r="D139" s="19" t="str">
        <f aca="false">IF(B139="","",COUNTIFS(上位10件データ!$A:$A,$B139))</f>
        <v/>
      </c>
      <c r="E139" s="28" t="str">
        <f aca="false">IF(OR(B139="",D139=0),"",AVERAGEIFS(上位10件データ!$G:$G,上位10件データ!$A:$A,$B139))</f>
        <v/>
      </c>
      <c r="F139" s="28" t="str">
        <f aca="false">IF(OR(B139="",D139=0),"",SUMIFS(上位10件データ!$G:$G,上位10件データ!$A:$A,$B139))</f>
        <v/>
      </c>
      <c r="G139" s="28" t="str">
        <f aca="false">IF(OR(B139="",D139=0),"",AVERAGEIFS(上位10件データ!$E:$E,上位10件データ!$A:$A,$B139))</f>
        <v/>
      </c>
      <c r="H139" s="19" t="str">
        <f aca="false">IF(OR(B139="",D139=0),"",COUNTIFS(上位10件データ!$A:$A,$B139,上位10件データ!$F:$F,"&gt;=1000"))</f>
        <v/>
      </c>
      <c r="I139" s="19" t="str">
        <f aca="false">IF(OR(B139="",D139=0),"",COUNTIFS(上位10件データ!$A:$A,$B139,上位10件データ!$F:$F,"&lt;100"))</f>
        <v/>
      </c>
      <c r="J139" s="19" t="str">
        <f aca="false">IF(E139="","",COUNTIF(L139:O139,"○")+IF(P139&gt;=0.5,1,0))</f>
        <v/>
      </c>
      <c r="K139" s="29" t="str">
        <f aca="false">IF(J139="","",IF(J139&gt;=設定!$B$19,"◎ 有力",IF(J139&gt;=設定!$B$20,"○ 候補",IF(J139&gt;=3,"△ 要検討","× 見送り"))))</f>
        <v/>
      </c>
      <c r="L139" s="19" t="str">
        <f aca="false">IF(E139="","",IF(E139&gt;=設定!$B$14,"○","×"))</f>
        <v/>
      </c>
      <c r="M139" s="19" t="str">
        <f aca="false">IF(H139="","",IF(H139&lt;=設定!$B$15,"○","×"))</f>
        <v/>
      </c>
      <c r="N139" s="19" t="str">
        <f aca="false">IF(I139="","",IF(I139&gt;=設定!$B$16,"○","×"))</f>
        <v/>
      </c>
      <c r="O139" s="19" t="str">
        <f aca="false">IF(G139="","",IF(AND(G139&gt;=設定!$B$17,G139&lt;=設定!$B$18),"○","×"))</f>
        <v/>
      </c>
      <c r="P139" s="30" t="str">
        <f aca="false">IF(OR(B139="",D139=0),"",COUNTIFS(上位10件データ!$A:$A,$B139,上位10件データ!$H:$H,"はい")/D139)</f>
        <v/>
      </c>
      <c r="Q139" s="22"/>
    </row>
    <row r="140" customFormat="false" ht="15" hidden="false" customHeight="true" outlineLevel="0" collapsed="false">
      <c r="A140" s="19" t="str">
        <f aca="false">IF(B140="","",ROW()-1)</f>
        <v/>
      </c>
      <c r="B140" s="22"/>
      <c r="C140" s="9"/>
      <c r="D140" s="19" t="str">
        <f aca="false">IF(B140="","",COUNTIFS(上位10件データ!$A:$A,$B140))</f>
        <v/>
      </c>
      <c r="E140" s="28" t="str">
        <f aca="false">IF(OR(B140="",D140=0),"",AVERAGEIFS(上位10件データ!$G:$G,上位10件データ!$A:$A,$B140))</f>
        <v/>
      </c>
      <c r="F140" s="28" t="str">
        <f aca="false">IF(OR(B140="",D140=0),"",SUMIFS(上位10件データ!$G:$G,上位10件データ!$A:$A,$B140))</f>
        <v/>
      </c>
      <c r="G140" s="28" t="str">
        <f aca="false">IF(OR(B140="",D140=0),"",AVERAGEIFS(上位10件データ!$E:$E,上位10件データ!$A:$A,$B140))</f>
        <v/>
      </c>
      <c r="H140" s="19" t="str">
        <f aca="false">IF(OR(B140="",D140=0),"",COUNTIFS(上位10件データ!$A:$A,$B140,上位10件データ!$F:$F,"&gt;=1000"))</f>
        <v/>
      </c>
      <c r="I140" s="19" t="str">
        <f aca="false">IF(OR(B140="",D140=0),"",COUNTIFS(上位10件データ!$A:$A,$B140,上位10件データ!$F:$F,"&lt;100"))</f>
        <v/>
      </c>
      <c r="J140" s="19" t="str">
        <f aca="false">IF(E140="","",COUNTIF(L140:O140,"○")+IF(P140&gt;=0.5,1,0))</f>
        <v/>
      </c>
      <c r="K140" s="29" t="str">
        <f aca="false">IF(J140="","",IF(J140&gt;=設定!$B$19,"◎ 有力",IF(J140&gt;=設定!$B$20,"○ 候補",IF(J140&gt;=3,"△ 要検討","× 見送り"))))</f>
        <v/>
      </c>
      <c r="L140" s="19" t="str">
        <f aca="false">IF(E140="","",IF(E140&gt;=設定!$B$14,"○","×"))</f>
        <v/>
      </c>
      <c r="M140" s="19" t="str">
        <f aca="false">IF(H140="","",IF(H140&lt;=設定!$B$15,"○","×"))</f>
        <v/>
      </c>
      <c r="N140" s="19" t="str">
        <f aca="false">IF(I140="","",IF(I140&gt;=設定!$B$16,"○","×"))</f>
        <v/>
      </c>
      <c r="O140" s="19" t="str">
        <f aca="false">IF(G140="","",IF(AND(G140&gt;=設定!$B$17,G140&lt;=設定!$B$18),"○","×"))</f>
        <v/>
      </c>
      <c r="P140" s="30" t="str">
        <f aca="false">IF(OR(B140="",D140=0),"",COUNTIFS(上位10件データ!$A:$A,$B140,上位10件データ!$H:$H,"はい")/D140)</f>
        <v/>
      </c>
      <c r="Q140" s="22"/>
    </row>
    <row r="141" customFormat="false" ht="15" hidden="false" customHeight="true" outlineLevel="0" collapsed="false">
      <c r="A141" s="19" t="str">
        <f aca="false">IF(B141="","",ROW()-1)</f>
        <v/>
      </c>
      <c r="B141" s="22"/>
      <c r="C141" s="9"/>
      <c r="D141" s="19" t="str">
        <f aca="false">IF(B141="","",COUNTIFS(上位10件データ!$A:$A,$B141))</f>
        <v/>
      </c>
      <c r="E141" s="28" t="str">
        <f aca="false">IF(OR(B141="",D141=0),"",AVERAGEIFS(上位10件データ!$G:$G,上位10件データ!$A:$A,$B141))</f>
        <v/>
      </c>
      <c r="F141" s="28" t="str">
        <f aca="false">IF(OR(B141="",D141=0),"",SUMIFS(上位10件データ!$G:$G,上位10件データ!$A:$A,$B141))</f>
        <v/>
      </c>
      <c r="G141" s="28" t="str">
        <f aca="false">IF(OR(B141="",D141=0),"",AVERAGEIFS(上位10件データ!$E:$E,上位10件データ!$A:$A,$B141))</f>
        <v/>
      </c>
      <c r="H141" s="19" t="str">
        <f aca="false">IF(OR(B141="",D141=0),"",COUNTIFS(上位10件データ!$A:$A,$B141,上位10件データ!$F:$F,"&gt;=1000"))</f>
        <v/>
      </c>
      <c r="I141" s="19" t="str">
        <f aca="false">IF(OR(B141="",D141=0),"",COUNTIFS(上位10件データ!$A:$A,$B141,上位10件データ!$F:$F,"&lt;100"))</f>
        <v/>
      </c>
      <c r="J141" s="19" t="str">
        <f aca="false">IF(E141="","",COUNTIF(L141:O141,"○")+IF(P141&gt;=0.5,1,0))</f>
        <v/>
      </c>
      <c r="K141" s="29" t="str">
        <f aca="false">IF(J141="","",IF(J141&gt;=設定!$B$19,"◎ 有力",IF(J141&gt;=設定!$B$20,"○ 候補",IF(J141&gt;=3,"△ 要検討","× 見送り"))))</f>
        <v/>
      </c>
      <c r="L141" s="19" t="str">
        <f aca="false">IF(E141="","",IF(E141&gt;=設定!$B$14,"○","×"))</f>
        <v/>
      </c>
      <c r="M141" s="19" t="str">
        <f aca="false">IF(H141="","",IF(H141&lt;=設定!$B$15,"○","×"))</f>
        <v/>
      </c>
      <c r="N141" s="19" t="str">
        <f aca="false">IF(I141="","",IF(I141&gt;=設定!$B$16,"○","×"))</f>
        <v/>
      </c>
      <c r="O141" s="19" t="str">
        <f aca="false">IF(G141="","",IF(AND(G141&gt;=設定!$B$17,G141&lt;=設定!$B$18),"○","×"))</f>
        <v/>
      </c>
      <c r="P141" s="30" t="str">
        <f aca="false">IF(OR(B141="",D141=0),"",COUNTIFS(上位10件データ!$A:$A,$B141,上位10件データ!$H:$H,"はい")/D141)</f>
        <v/>
      </c>
      <c r="Q141" s="22"/>
    </row>
    <row r="142" customFormat="false" ht="15" hidden="false" customHeight="true" outlineLevel="0" collapsed="false">
      <c r="A142" s="19" t="str">
        <f aca="false">IF(B142="","",ROW()-1)</f>
        <v/>
      </c>
      <c r="B142" s="22"/>
      <c r="C142" s="9"/>
      <c r="D142" s="19" t="str">
        <f aca="false">IF(B142="","",COUNTIFS(上位10件データ!$A:$A,$B142))</f>
        <v/>
      </c>
      <c r="E142" s="28" t="str">
        <f aca="false">IF(OR(B142="",D142=0),"",AVERAGEIFS(上位10件データ!$G:$G,上位10件データ!$A:$A,$B142))</f>
        <v/>
      </c>
      <c r="F142" s="28" t="str">
        <f aca="false">IF(OR(B142="",D142=0),"",SUMIFS(上位10件データ!$G:$G,上位10件データ!$A:$A,$B142))</f>
        <v/>
      </c>
      <c r="G142" s="28" t="str">
        <f aca="false">IF(OR(B142="",D142=0),"",AVERAGEIFS(上位10件データ!$E:$E,上位10件データ!$A:$A,$B142))</f>
        <v/>
      </c>
      <c r="H142" s="19" t="str">
        <f aca="false">IF(OR(B142="",D142=0),"",COUNTIFS(上位10件データ!$A:$A,$B142,上位10件データ!$F:$F,"&gt;=1000"))</f>
        <v/>
      </c>
      <c r="I142" s="19" t="str">
        <f aca="false">IF(OR(B142="",D142=0),"",COUNTIFS(上位10件データ!$A:$A,$B142,上位10件データ!$F:$F,"&lt;100"))</f>
        <v/>
      </c>
      <c r="J142" s="19" t="str">
        <f aca="false">IF(E142="","",COUNTIF(L142:O142,"○")+IF(P142&gt;=0.5,1,0))</f>
        <v/>
      </c>
      <c r="K142" s="29" t="str">
        <f aca="false">IF(J142="","",IF(J142&gt;=設定!$B$19,"◎ 有力",IF(J142&gt;=設定!$B$20,"○ 候補",IF(J142&gt;=3,"△ 要検討","× 見送り"))))</f>
        <v/>
      </c>
      <c r="L142" s="19" t="str">
        <f aca="false">IF(E142="","",IF(E142&gt;=設定!$B$14,"○","×"))</f>
        <v/>
      </c>
      <c r="M142" s="19" t="str">
        <f aca="false">IF(H142="","",IF(H142&lt;=設定!$B$15,"○","×"))</f>
        <v/>
      </c>
      <c r="N142" s="19" t="str">
        <f aca="false">IF(I142="","",IF(I142&gt;=設定!$B$16,"○","×"))</f>
        <v/>
      </c>
      <c r="O142" s="19" t="str">
        <f aca="false">IF(G142="","",IF(AND(G142&gt;=設定!$B$17,G142&lt;=設定!$B$18),"○","×"))</f>
        <v/>
      </c>
      <c r="P142" s="30" t="str">
        <f aca="false">IF(OR(B142="",D142=0),"",COUNTIFS(上位10件データ!$A:$A,$B142,上位10件データ!$H:$H,"はい")/D142)</f>
        <v/>
      </c>
      <c r="Q142" s="22"/>
    </row>
    <row r="143" customFormat="false" ht="15" hidden="false" customHeight="true" outlineLevel="0" collapsed="false">
      <c r="A143" s="19" t="str">
        <f aca="false">IF(B143="","",ROW()-1)</f>
        <v/>
      </c>
      <c r="B143" s="22"/>
      <c r="C143" s="9"/>
      <c r="D143" s="19" t="str">
        <f aca="false">IF(B143="","",COUNTIFS(上位10件データ!$A:$A,$B143))</f>
        <v/>
      </c>
      <c r="E143" s="28" t="str">
        <f aca="false">IF(OR(B143="",D143=0),"",AVERAGEIFS(上位10件データ!$G:$G,上位10件データ!$A:$A,$B143))</f>
        <v/>
      </c>
      <c r="F143" s="28" t="str">
        <f aca="false">IF(OR(B143="",D143=0),"",SUMIFS(上位10件データ!$G:$G,上位10件データ!$A:$A,$B143))</f>
        <v/>
      </c>
      <c r="G143" s="28" t="str">
        <f aca="false">IF(OR(B143="",D143=0),"",AVERAGEIFS(上位10件データ!$E:$E,上位10件データ!$A:$A,$B143))</f>
        <v/>
      </c>
      <c r="H143" s="19" t="str">
        <f aca="false">IF(OR(B143="",D143=0),"",COUNTIFS(上位10件データ!$A:$A,$B143,上位10件データ!$F:$F,"&gt;=1000"))</f>
        <v/>
      </c>
      <c r="I143" s="19" t="str">
        <f aca="false">IF(OR(B143="",D143=0),"",COUNTIFS(上位10件データ!$A:$A,$B143,上位10件データ!$F:$F,"&lt;100"))</f>
        <v/>
      </c>
      <c r="J143" s="19" t="str">
        <f aca="false">IF(E143="","",COUNTIF(L143:O143,"○")+IF(P143&gt;=0.5,1,0))</f>
        <v/>
      </c>
      <c r="K143" s="29" t="str">
        <f aca="false">IF(J143="","",IF(J143&gt;=設定!$B$19,"◎ 有力",IF(J143&gt;=設定!$B$20,"○ 候補",IF(J143&gt;=3,"△ 要検討","× 見送り"))))</f>
        <v/>
      </c>
      <c r="L143" s="19" t="str">
        <f aca="false">IF(E143="","",IF(E143&gt;=設定!$B$14,"○","×"))</f>
        <v/>
      </c>
      <c r="M143" s="19" t="str">
        <f aca="false">IF(H143="","",IF(H143&lt;=設定!$B$15,"○","×"))</f>
        <v/>
      </c>
      <c r="N143" s="19" t="str">
        <f aca="false">IF(I143="","",IF(I143&gt;=設定!$B$16,"○","×"))</f>
        <v/>
      </c>
      <c r="O143" s="19" t="str">
        <f aca="false">IF(G143="","",IF(AND(G143&gt;=設定!$B$17,G143&lt;=設定!$B$18),"○","×"))</f>
        <v/>
      </c>
      <c r="P143" s="30" t="str">
        <f aca="false">IF(OR(B143="",D143=0),"",COUNTIFS(上位10件データ!$A:$A,$B143,上位10件データ!$H:$H,"はい")/D143)</f>
        <v/>
      </c>
      <c r="Q143" s="22"/>
    </row>
    <row r="144" customFormat="false" ht="15" hidden="false" customHeight="true" outlineLevel="0" collapsed="false">
      <c r="A144" s="19" t="str">
        <f aca="false">IF(B144="","",ROW()-1)</f>
        <v/>
      </c>
      <c r="B144" s="22"/>
      <c r="C144" s="9"/>
      <c r="D144" s="19" t="str">
        <f aca="false">IF(B144="","",COUNTIFS(上位10件データ!$A:$A,$B144))</f>
        <v/>
      </c>
      <c r="E144" s="28" t="str">
        <f aca="false">IF(OR(B144="",D144=0),"",AVERAGEIFS(上位10件データ!$G:$G,上位10件データ!$A:$A,$B144))</f>
        <v/>
      </c>
      <c r="F144" s="28" t="str">
        <f aca="false">IF(OR(B144="",D144=0),"",SUMIFS(上位10件データ!$G:$G,上位10件データ!$A:$A,$B144))</f>
        <v/>
      </c>
      <c r="G144" s="28" t="str">
        <f aca="false">IF(OR(B144="",D144=0),"",AVERAGEIFS(上位10件データ!$E:$E,上位10件データ!$A:$A,$B144))</f>
        <v/>
      </c>
      <c r="H144" s="19" t="str">
        <f aca="false">IF(OR(B144="",D144=0),"",COUNTIFS(上位10件データ!$A:$A,$B144,上位10件データ!$F:$F,"&gt;=1000"))</f>
        <v/>
      </c>
      <c r="I144" s="19" t="str">
        <f aca="false">IF(OR(B144="",D144=0),"",COUNTIFS(上位10件データ!$A:$A,$B144,上位10件データ!$F:$F,"&lt;100"))</f>
        <v/>
      </c>
      <c r="J144" s="19" t="str">
        <f aca="false">IF(E144="","",COUNTIF(L144:O144,"○")+IF(P144&gt;=0.5,1,0))</f>
        <v/>
      </c>
      <c r="K144" s="29" t="str">
        <f aca="false">IF(J144="","",IF(J144&gt;=設定!$B$19,"◎ 有力",IF(J144&gt;=設定!$B$20,"○ 候補",IF(J144&gt;=3,"△ 要検討","× 見送り"))))</f>
        <v/>
      </c>
      <c r="L144" s="19" t="str">
        <f aca="false">IF(E144="","",IF(E144&gt;=設定!$B$14,"○","×"))</f>
        <v/>
      </c>
      <c r="M144" s="19" t="str">
        <f aca="false">IF(H144="","",IF(H144&lt;=設定!$B$15,"○","×"))</f>
        <v/>
      </c>
      <c r="N144" s="19" t="str">
        <f aca="false">IF(I144="","",IF(I144&gt;=設定!$B$16,"○","×"))</f>
        <v/>
      </c>
      <c r="O144" s="19" t="str">
        <f aca="false">IF(G144="","",IF(AND(G144&gt;=設定!$B$17,G144&lt;=設定!$B$18),"○","×"))</f>
        <v/>
      </c>
      <c r="P144" s="30" t="str">
        <f aca="false">IF(OR(B144="",D144=0),"",COUNTIFS(上位10件データ!$A:$A,$B144,上位10件データ!$H:$H,"はい")/D144)</f>
        <v/>
      </c>
      <c r="Q144" s="22"/>
    </row>
    <row r="145" customFormat="false" ht="15" hidden="false" customHeight="true" outlineLevel="0" collapsed="false">
      <c r="A145" s="19" t="str">
        <f aca="false">IF(B145="","",ROW()-1)</f>
        <v/>
      </c>
      <c r="B145" s="22"/>
      <c r="C145" s="9"/>
      <c r="D145" s="19" t="str">
        <f aca="false">IF(B145="","",COUNTIFS(上位10件データ!$A:$A,$B145))</f>
        <v/>
      </c>
      <c r="E145" s="28" t="str">
        <f aca="false">IF(OR(B145="",D145=0),"",AVERAGEIFS(上位10件データ!$G:$G,上位10件データ!$A:$A,$B145))</f>
        <v/>
      </c>
      <c r="F145" s="28" t="str">
        <f aca="false">IF(OR(B145="",D145=0),"",SUMIFS(上位10件データ!$G:$G,上位10件データ!$A:$A,$B145))</f>
        <v/>
      </c>
      <c r="G145" s="28" t="str">
        <f aca="false">IF(OR(B145="",D145=0),"",AVERAGEIFS(上位10件データ!$E:$E,上位10件データ!$A:$A,$B145))</f>
        <v/>
      </c>
      <c r="H145" s="19" t="str">
        <f aca="false">IF(OR(B145="",D145=0),"",COUNTIFS(上位10件データ!$A:$A,$B145,上位10件データ!$F:$F,"&gt;=1000"))</f>
        <v/>
      </c>
      <c r="I145" s="19" t="str">
        <f aca="false">IF(OR(B145="",D145=0),"",COUNTIFS(上位10件データ!$A:$A,$B145,上位10件データ!$F:$F,"&lt;100"))</f>
        <v/>
      </c>
      <c r="J145" s="19" t="str">
        <f aca="false">IF(E145="","",COUNTIF(L145:O145,"○")+IF(P145&gt;=0.5,1,0))</f>
        <v/>
      </c>
      <c r="K145" s="29" t="str">
        <f aca="false">IF(J145="","",IF(J145&gt;=設定!$B$19,"◎ 有力",IF(J145&gt;=設定!$B$20,"○ 候補",IF(J145&gt;=3,"△ 要検討","× 見送り"))))</f>
        <v/>
      </c>
      <c r="L145" s="19" t="str">
        <f aca="false">IF(E145="","",IF(E145&gt;=設定!$B$14,"○","×"))</f>
        <v/>
      </c>
      <c r="M145" s="19" t="str">
        <f aca="false">IF(H145="","",IF(H145&lt;=設定!$B$15,"○","×"))</f>
        <v/>
      </c>
      <c r="N145" s="19" t="str">
        <f aca="false">IF(I145="","",IF(I145&gt;=設定!$B$16,"○","×"))</f>
        <v/>
      </c>
      <c r="O145" s="19" t="str">
        <f aca="false">IF(G145="","",IF(AND(G145&gt;=設定!$B$17,G145&lt;=設定!$B$18),"○","×"))</f>
        <v/>
      </c>
      <c r="P145" s="30" t="str">
        <f aca="false">IF(OR(B145="",D145=0),"",COUNTIFS(上位10件データ!$A:$A,$B145,上位10件データ!$H:$H,"はい")/D145)</f>
        <v/>
      </c>
      <c r="Q145" s="22"/>
    </row>
    <row r="146" customFormat="false" ht="15" hidden="false" customHeight="true" outlineLevel="0" collapsed="false">
      <c r="A146" s="19" t="str">
        <f aca="false">IF(B146="","",ROW()-1)</f>
        <v/>
      </c>
      <c r="B146" s="22"/>
      <c r="C146" s="9"/>
      <c r="D146" s="19" t="str">
        <f aca="false">IF(B146="","",COUNTIFS(上位10件データ!$A:$A,$B146))</f>
        <v/>
      </c>
      <c r="E146" s="28" t="str">
        <f aca="false">IF(OR(B146="",D146=0),"",AVERAGEIFS(上位10件データ!$G:$G,上位10件データ!$A:$A,$B146))</f>
        <v/>
      </c>
      <c r="F146" s="28" t="str">
        <f aca="false">IF(OR(B146="",D146=0),"",SUMIFS(上位10件データ!$G:$G,上位10件データ!$A:$A,$B146))</f>
        <v/>
      </c>
      <c r="G146" s="28" t="str">
        <f aca="false">IF(OR(B146="",D146=0),"",AVERAGEIFS(上位10件データ!$E:$E,上位10件データ!$A:$A,$B146))</f>
        <v/>
      </c>
      <c r="H146" s="19" t="str">
        <f aca="false">IF(OR(B146="",D146=0),"",COUNTIFS(上位10件データ!$A:$A,$B146,上位10件データ!$F:$F,"&gt;=1000"))</f>
        <v/>
      </c>
      <c r="I146" s="19" t="str">
        <f aca="false">IF(OR(B146="",D146=0),"",COUNTIFS(上位10件データ!$A:$A,$B146,上位10件データ!$F:$F,"&lt;100"))</f>
        <v/>
      </c>
      <c r="J146" s="19" t="str">
        <f aca="false">IF(E146="","",COUNTIF(L146:O146,"○")+IF(P146&gt;=0.5,1,0))</f>
        <v/>
      </c>
      <c r="K146" s="29" t="str">
        <f aca="false">IF(J146="","",IF(J146&gt;=設定!$B$19,"◎ 有力",IF(J146&gt;=設定!$B$20,"○ 候補",IF(J146&gt;=3,"△ 要検討","× 見送り"))))</f>
        <v/>
      </c>
      <c r="L146" s="19" t="str">
        <f aca="false">IF(E146="","",IF(E146&gt;=設定!$B$14,"○","×"))</f>
        <v/>
      </c>
      <c r="M146" s="19" t="str">
        <f aca="false">IF(H146="","",IF(H146&lt;=設定!$B$15,"○","×"))</f>
        <v/>
      </c>
      <c r="N146" s="19" t="str">
        <f aca="false">IF(I146="","",IF(I146&gt;=設定!$B$16,"○","×"))</f>
        <v/>
      </c>
      <c r="O146" s="19" t="str">
        <f aca="false">IF(G146="","",IF(AND(G146&gt;=設定!$B$17,G146&lt;=設定!$B$18),"○","×"))</f>
        <v/>
      </c>
      <c r="P146" s="30" t="str">
        <f aca="false">IF(OR(B146="",D146=0),"",COUNTIFS(上位10件データ!$A:$A,$B146,上位10件データ!$H:$H,"はい")/D146)</f>
        <v/>
      </c>
      <c r="Q146" s="22"/>
    </row>
    <row r="147" customFormat="false" ht="15" hidden="false" customHeight="true" outlineLevel="0" collapsed="false">
      <c r="A147" s="19" t="str">
        <f aca="false">IF(B147="","",ROW()-1)</f>
        <v/>
      </c>
      <c r="B147" s="22"/>
      <c r="C147" s="9"/>
      <c r="D147" s="19" t="str">
        <f aca="false">IF(B147="","",COUNTIFS(上位10件データ!$A:$A,$B147))</f>
        <v/>
      </c>
      <c r="E147" s="28" t="str">
        <f aca="false">IF(OR(B147="",D147=0),"",AVERAGEIFS(上位10件データ!$G:$G,上位10件データ!$A:$A,$B147))</f>
        <v/>
      </c>
      <c r="F147" s="28" t="str">
        <f aca="false">IF(OR(B147="",D147=0),"",SUMIFS(上位10件データ!$G:$G,上位10件データ!$A:$A,$B147))</f>
        <v/>
      </c>
      <c r="G147" s="28" t="str">
        <f aca="false">IF(OR(B147="",D147=0),"",AVERAGEIFS(上位10件データ!$E:$E,上位10件データ!$A:$A,$B147))</f>
        <v/>
      </c>
      <c r="H147" s="19" t="str">
        <f aca="false">IF(OR(B147="",D147=0),"",COUNTIFS(上位10件データ!$A:$A,$B147,上位10件データ!$F:$F,"&gt;=1000"))</f>
        <v/>
      </c>
      <c r="I147" s="19" t="str">
        <f aca="false">IF(OR(B147="",D147=0),"",COUNTIFS(上位10件データ!$A:$A,$B147,上位10件データ!$F:$F,"&lt;100"))</f>
        <v/>
      </c>
      <c r="J147" s="19" t="str">
        <f aca="false">IF(E147="","",COUNTIF(L147:O147,"○")+IF(P147&gt;=0.5,1,0))</f>
        <v/>
      </c>
      <c r="K147" s="29" t="str">
        <f aca="false">IF(J147="","",IF(J147&gt;=設定!$B$19,"◎ 有力",IF(J147&gt;=設定!$B$20,"○ 候補",IF(J147&gt;=3,"△ 要検討","× 見送り"))))</f>
        <v/>
      </c>
      <c r="L147" s="19" t="str">
        <f aca="false">IF(E147="","",IF(E147&gt;=設定!$B$14,"○","×"))</f>
        <v/>
      </c>
      <c r="M147" s="19" t="str">
        <f aca="false">IF(H147="","",IF(H147&lt;=設定!$B$15,"○","×"))</f>
        <v/>
      </c>
      <c r="N147" s="19" t="str">
        <f aca="false">IF(I147="","",IF(I147&gt;=設定!$B$16,"○","×"))</f>
        <v/>
      </c>
      <c r="O147" s="19" t="str">
        <f aca="false">IF(G147="","",IF(AND(G147&gt;=設定!$B$17,G147&lt;=設定!$B$18),"○","×"))</f>
        <v/>
      </c>
      <c r="P147" s="30" t="str">
        <f aca="false">IF(OR(B147="",D147=0),"",COUNTIFS(上位10件データ!$A:$A,$B147,上位10件データ!$H:$H,"はい")/D147)</f>
        <v/>
      </c>
      <c r="Q147" s="22"/>
    </row>
    <row r="148" customFormat="false" ht="15" hidden="false" customHeight="true" outlineLevel="0" collapsed="false">
      <c r="A148" s="19" t="str">
        <f aca="false">IF(B148="","",ROW()-1)</f>
        <v/>
      </c>
      <c r="B148" s="22"/>
      <c r="C148" s="9"/>
      <c r="D148" s="19" t="str">
        <f aca="false">IF(B148="","",COUNTIFS(上位10件データ!$A:$A,$B148))</f>
        <v/>
      </c>
      <c r="E148" s="28" t="str">
        <f aca="false">IF(OR(B148="",D148=0),"",AVERAGEIFS(上位10件データ!$G:$G,上位10件データ!$A:$A,$B148))</f>
        <v/>
      </c>
      <c r="F148" s="28" t="str">
        <f aca="false">IF(OR(B148="",D148=0),"",SUMIFS(上位10件データ!$G:$G,上位10件データ!$A:$A,$B148))</f>
        <v/>
      </c>
      <c r="G148" s="28" t="str">
        <f aca="false">IF(OR(B148="",D148=0),"",AVERAGEIFS(上位10件データ!$E:$E,上位10件データ!$A:$A,$B148))</f>
        <v/>
      </c>
      <c r="H148" s="19" t="str">
        <f aca="false">IF(OR(B148="",D148=0),"",COUNTIFS(上位10件データ!$A:$A,$B148,上位10件データ!$F:$F,"&gt;=1000"))</f>
        <v/>
      </c>
      <c r="I148" s="19" t="str">
        <f aca="false">IF(OR(B148="",D148=0),"",COUNTIFS(上位10件データ!$A:$A,$B148,上位10件データ!$F:$F,"&lt;100"))</f>
        <v/>
      </c>
      <c r="J148" s="19" t="str">
        <f aca="false">IF(E148="","",COUNTIF(L148:O148,"○")+IF(P148&gt;=0.5,1,0))</f>
        <v/>
      </c>
      <c r="K148" s="29" t="str">
        <f aca="false">IF(J148="","",IF(J148&gt;=設定!$B$19,"◎ 有力",IF(J148&gt;=設定!$B$20,"○ 候補",IF(J148&gt;=3,"△ 要検討","× 見送り"))))</f>
        <v/>
      </c>
      <c r="L148" s="19" t="str">
        <f aca="false">IF(E148="","",IF(E148&gt;=設定!$B$14,"○","×"))</f>
        <v/>
      </c>
      <c r="M148" s="19" t="str">
        <f aca="false">IF(H148="","",IF(H148&lt;=設定!$B$15,"○","×"))</f>
        <v/>
      </c>
      <c r="N148" s="19" t="str">
        <f aca="false">IF(I148="","",IF(I148&gt;=設定!$B$16,"○","×"))</f>
        <v/>
      </c>
      <c r="O148" s="19" t="str">
        <f aca="false">IF(G148="","",IF(AND(G148&gt;=設定!$B$17,G148&lt;=設定!$B$18),"○","×"))</f>
        <v/>
      </c>
      <c r="P148" s="30" t="str">
        <f aca="false">IF(OR(B148="",D148=0),"",COUNTIFS(上位10件データ!$A:$A,$B148,上位10件データ!$H:$H,"はい")/D148)</f>
        <v/>
      </c>
      <c r="Q148" s="22"/>
    </row>
    <row r="149" customFormat="false" ht="15" hidden="false" customHeight="true" outlineLevel="0" collapsed="false">
      <c r="A149" s="19" t="str">
        <f aca="false">IF(B149="","",ROW()-1)</f>
        <v/>
      </c>
      <c r="B149" s="22"/>
      <c r="C149" s="9"/>
      <c r="D149" s="19" t="str">
        <f aca="false">IF(B149="","",COUNTIFS(上位10件データ!$A:$A,$B149))</f>
        <v/>
      </c>
      <c r="E149" s="28" t="str">
        <f aca="false">IF(OR(B149="",D149=0),"",AVERAGEIFS(上位10件データ!$G:$G,上位10件データ!$A:$A,$B149))</f>
        <v/>
      </c>
      <c r="F149" s="28" t="str">
        <f aca="false">IF(OR(B149="",D149=0),"",SUMIFS(上位10件データ!$G:$G,上位10件データ!$A:$A,$B149))</f>
        <v/>
      </c>
      <c r="G149" s="28" t="str">
        <f aca="false">IF(OR(B149="",D149=0),"",AVERAGEIFS(上位10件データ!$E:$E,上位10件データ!$A:$A,$B149))</f>
        <v/>
      </c>
      <c r="H149" s="19" t="str">
        <f aca="false">IF(OR(B149="",D149=0),"",COUNTIFS(上位10件データ!$A:$A,$B149,上位10件データ!$F:$F,"&gt;=1000"))</f>
        <v/>
      </c>
      <c r="I149" s="19" t="str">
        <f aca="false">IF(OR(B149="",D149=0),"",COUNTIFS(上位10件データ!$A:$A,$B149,上位10件データ!$F:$F,"&lt;100"))</f>
        <v/>
      </c>
      <c r="J149" s="19" t="str">
        <f aca="false">IF(E149="","",COUNTIF(L149:O149,"○")+IF(P149&gt;=0.5,1,0))</f>
        <v/>
      </c>
      <c r="K149" s="29" t="str">
        <f aca="false">IF(J149="","",IF(J149&gt;=設定!$B$19,"◎ 有力",IF(J149&gt;=設定!$B$20,"○ 候補",IF(J149&gt;=3,"△ 要検討","× 見送り"))))</f>
        <v/>
      </c>
      <c r="L149" s="19" t="str">
        <f aca="false">IF(E149="","",IF(E149&gt;=設定!$B$14,"○","×"))</f>
        <v/>
      </c>
      <c r="M149" s="19" t="str">
        <f aca="false">IF(H149="","",IF(H149&lt;=設定!$B$15,"○","×"))</f>
        <v/>
      </c>
      <c r="N149" s="19" t="str">
        <f aca="false">IF(I149="","",IF(I149&gt;=設定!$B$16,"○","×"))</f>
        <v/>
      </c>
      <c r="O149" s="19" t="str">
        <f aca="false">IF(G149="","",IF(AND(G149&gt;=設定!$B$17,G149&lt;=設定!$B$18),"○","×"))</f>
        <v/>
      </c>
      <c r="P149" s="30" t="str">
        <f aca="false">IF(OR(B149="",D149=0),"",COUNTIFS(上位10件データ!$A:$A,$B149,上位10件データ!$H:$H,"はい")/D149)</f>
        <v/>
      </c>
      <c r="Q149" s="22"/>
    </row>
    <row r="150" customFormat="false" ht="15" hidden="false" customHeight="true" outlineLevel="0" collapsed="false">
      <c r="A150" s="19" t="str">
        <f aca="false">IF(B150="","",ROW()-1)</f>
        <v/>
      </c>
      <c r="B150" s="22"/>
      <c r="C150" s="9"/>
      <c r="D150" s="19" t="str">
        <f aca="false">IF(B150="","",COUNTIFS(上位10件データ!$A:$A,$B150))</f>
        <v/>
      </c>
      <c r="E150" s="28" t="str">
        <f aca="false">IF(OR(B150="",D150=0),"",AVERAGEIFS(上位10件データ!$G:$G,上位10件データ!$A:$A,$B150))</f>
        <v/>
      </c>
      <c r="F150" s="28" t="str">
        <f aca="false">IF(OR(B150="",D150=0),"",SUMIFS(上位10件データ!$G:$G,上位10件データ!$A:$A,$B150))</f>
        <v/>
      </c>
      <c r="G150" s="28" t="str">
        <f aca="false">IF(OR(B150="",D150=0),"",AVERAGEIFS(上位10件データ!$E:$E,上位10件データ!$A:$A,$B150))</f>
        <v/>
      </c>
      <c r="H150" s="19" t="str">
        <f aca="false">IF(OR(B150="",D150=0),"",COUNTIFS(上位10件データ!$A:$A,$B150,上位10件データ!$F:$F,"&gt;=1000"))</f>
        <v/>
      </c>
      <c r="I150" s="19" t="str">
        <f aca="false">IF(OR(B150="",D150=0),"",COUNTIFS(上位10件データ!$A:$A,$B150,上位10件データ!$F:$F,"&lt;100"))</f>
        <v/>
      </c>
      <c r="J150" s="19" t="str">
        <f aca="false">IF(E150="","",COUNTIF(L150:O150,"○")+IF(P150&gt;=0.5,1,0))</f>
        <v/>
      </c>
      <c r="K150" s="29" t="str">
        <f aca="false">IF(J150="","",IF(J150&gt;=設定!$B$19,"◎ 有力",IF(J150&gt;=設定!$B$20,"○ 候補",IF(J150&gt;=3,"△ 要検討","× 見送り"))))</f>
        <v/>
      </c>
      <c r="L150" s="19" t="str">
        <f aca="false">IF(E150="","",IF(E150&gt;=設定!$B$14,"○","×"))</f>
        <v/>
      </c>
      <c r="M150" s="19" t="str">
        <f aca="false">IF(H150="","",IF(H150&lt;=設定!$B$15,"○","×"))</f>
        <v/>
      </c>
      <c r="N150" s="19" t="str">
        <f aca="false">IF(I150="","",IF(I150&gt;=設定!$B$16,"○","×"))</f>
        <v/>
      </c>
      <c r="O150" s="19" t="str">
        <f aca="false">IF(G150="","",IF(AND(G150&gt;=設定!$B$17,G150&lt;=設定!$B$18),"○","×"))</f>
        <v/>
      </c>
      <c r="P150" s="30" t="str">
        <f aca="false">IF(OR(B150="",D150=0),"",COUNTIFS(上位10件データ!$A:$A,$B150,上位10件データ!$H:$H,"はい")/D150)</f>
        <v/>
      </c>
      <c r="Q150" s="22"/>
    </row>
    <row r="151" customFormat="false" ht="15" hidden="false" customHeight="true" outlineLevel="0" collapsed="false">
      <c r="A151" s="19" t="str">
        <f aca="false">IF(B151="","",ROW()-1)</f>
        <v/>
      </c>
      <c r="B151" s="22"/>
      <c r="C151" s="9"/>
      <c r="D151" s="19" t="str">
        <f aca="false">IF(B151="","",COUNTIFS(上位10件データ!$A:$A,$B151))</f>
        <v/>
      </c>
      <c r="E151" s="28" t="str">
        <f aca="false">IF(OR(B151="",D151=0),"",AVERAGEIFS(上位10件データ!$G:$G,上位10件データ!$A:$A,$B151))</f>
        <v/>
      </c>
      <c r="F151" s="28" t="str">
        <f aca="false">IF(OR(B151="",D151=0),"",SUMIFS(上位10件データ!$G:$G,上位10件データ!$A:$A,$B151))</f>
        <v/>
      </c>
      <c r="G151" s="28" t="str">
        <f aca="false">IF(OR(B151="",D151=0),"",AVERAGEIFS(上位10件データ!$E:$E,上位10件データ!$A:$A,$B151))</f>
        <v/>
      </c>
      <c r="H151" s="19" t="str">
        <f aca="false">IF(OR(B151="",D151=0),"",COUNTIFS(上位10件データ!$A:$A,$B151,上位10件データ!$F:$F,"&gt;=1000"))</f>
        <v/>
      </c>
      <c r="I151" s="19" t="str">
        <f aca="false">IF(OR(B151="",D151=0),"",COUNTIFS(上位10件データ!$A:$A,$B151,上位10件データ!$F:$F,"&lt;100"))</f>
        <v/>
      </c>
      <c r="J151" s="19" t="str">
        <f aca="false">IF(E151="","",COUNTIF(L151:O151,"○")+IF(P151&gt;=0.5,1,0))</f>
        <v/>
      </c>
      <c r="K151" s="29" t="str">
        <f aca="false">IF(J151="","",IF(J151&gt;=設定!$B$19,"◎ 有力",IF(J151&gt;=設定!$B$20,"○ 候補",IF(J151&gt;=3,"△ 要検討","× 見送り"))))</f>
        <v/>
      </c>
      <c r="L151" s="19" t="str">
        <f aca="false">IF(E151="","",IF(E151&gt;=設定!$B$14,"○","×"))</f>
        <v/>
      </c>
      <c r="M151" s="19" t="str">
        <f aca="false">IF(H151="","",IF(H151&lt;=設定!$B$15,"○","×"))</f>
        <v/>
      </c>
      <c r="N151" s="19" t="str">
        <f aca="false">IF(I151="","",IF(I151&gt;=設定!$B$16,"○","×"))</f>
        <v/>
      </c>
      <c r="O151" s="19" t="str">
        <f aca="false">IF(G151="","",IF(AND(G151&gt;=設定!$B$17,G151&lt;=設定!$B$18),"○","×"))</f>
        <v/>
      </c>
      <c r="P151" s="30" t="str">
        <f aca="false">IF(OR(B151="",D151=0),"",COUNTIFS(上位10件データ!$A:$A,$B151,上位10件データ!$H:$H,"はい")/D151)</f>
        <v/>
      </c>
      <c r="Q151" s="22"/>
    </row>
    <row r="152" customFormat="false" ht="15" hidden="false" customHeight="true" outlineLevel="0" collapsed="false">
      <c r="A152" s="19" t="str">
        <f aca="false">IF(B152="","",ROW()-1)</f>
        <v/>
      </c>
      <c r="B152" s="22"/>
      <c r="C152" s="9"/>
      <c r="D152" s="19" t="str">
        <f aca="false">IF(B152="","",COUNTIFS(上位10件データ!$A:$A,$B152))</f>
        <v/>
      </c>
      <c r="E152" s="28" t="str">
        <f aca="false">IF(OR(B152="",D152=0),"",AVERAGEIFS(上位10件データ!$G:$G,上位10件データ!$A:$A,$B152))</f>
        <v/>
      </c>
      <c r="F152" s="28" t="str">
        <f aca="false">IF(OR(B152="",D152=0),"",SUMIFS(上位10件データ!$G:$G,上位10件データ!$A:$A,$B152))</f>
        <v/>
      </c>
      <c r="G152" s="28" t="str">
        <f aca="false">IF(OR(B152="",D152=0),"",AVERAGEIFS(上位10件データ!$E:$E,上位10件データ!$A:$A,$B152))</f>
        <v/>
      </c>
      <c r="H152" s="19" t="str">
        <f aca="false">IF(OR(B152="",D152=0),"",COUNTIFS(上位10件データ!$A:$A,$B152,上位10件データ!$F:$F,"&gt;=1000"))</f>
        <v/>
      </c>
      <c r="I152" s="19" t="str">
        <f aca="false">IF(OR(B152="",D152=0),"",COUNTIFS(上位10件データ!$A:$A,$B152,上位10件データ!$F:$F,"&lt;100"))</f>
        <v/>
      </c>
      <c r="J152" s="19" t="str">
        <f aca="false">IF(E152="","",COUNTIF(L152:O152,"○")+IF(P152&gt;=0.5,1,0))</f>
        <v/>
      </c>
      <c r="K152" s="29" t="str">
        <f aca="false">IF(J152="","",IF(J152&gt;=設定!$B$19,"◎ 有力",IF(J152&gt;=設定!$B$20,"○ 候補",IF(J152&gt;=3,"△ 要検討","× 見送り"))))</f>
        <v/>
      </c>
      <c r="L152" s="19" t="str">
        <f aca="false">IF(E152="","",IF(E152&gt;=設定!$B$14,"○","×"))</f>
        <v/>
      </c>
      <c r="M152" s="19" t="str">
        <f aca="false">IF(H152="","",IF(H152&lt;=設定!$B$15,"○","×"))</f>
        <v/>
      </c>
      <c r="N152" s="19" t="str">
        <f aca="false">IF(I152="","",IF(I152&gt;=設定!$B$16,"○","×"))</f>
        <v/>
      </c>
      <c r="O152" s="19" t="str">
        <f aca="false">IF(G152="","",IF(AND(G152&gt;=設定!$B$17,G152&lt;=設定!$B$18),"○","×"))</f>
        <v/>
      </c>
      <c r="P152" s="30" t="str">
        <f aca="false">IF(OR(B152="",D152=0),"",COUNTIFS(上位10件データ!$A:$A,$B152,上位10件データ!$H:$H,"はい")/D152)</f>
        <v/>
      </c>
      <c r="Q152" s="22"/>
    </row>
    <row r="153" customFormat="false" ht="15" hidden="false" customHeight="true" outlineLevel="0" collapsed="false">
      <c r="A153" s="19" t="str">
        <f aca="false">IF(B153="","",ROW()-1)</f>
        <v/>
      </c>
      <c r="B153" s="22"/>
      <c r="C153" s="9"/>
      <c r="D153" s="19" t="str">
        <f aca="false">IF(B153="","",COUNTIFS(上位10件データ!$A:$A,$B153))</f>
        <v/>
      </c>
      <c r="E153" s="28" t="str">
        <f aca="false">IF(OR(B153="",D153=0),"",AVERAGEIFS(上位10件データ!$G:$G,上位10件データ!$A:$A,$B153))</f>
        <v/>
      </c>
      <c r="F153" s="28" t="str">
        <f aca="false">IF(OR(B153="",D153=0),"",SUMIFS(上位10件データ!$G:$G,上位10件データ!$A:$A,$B153))</f>
        <v/>
      </c>
      <c r="G153" s="28" t="str">
        <f aca="false">IF(OR(B153="",D153=0),"",AVERAGEIFS(上位10件データ!$E:$E,上位10件データ!$A:$A,$B153))</f>
        <v/>
      </c>
      <c r="H153" s="19" t="str">
        <f aca="false">IF(OR(B153="",D153=0),"",COUNTIFS(上位10件データ!$A:$A,$B153,上位10件データ!$F:$F,"&gt;=1000"))</f>
        <v/>
      </c>
      <c r="I153" s="19" t="str">
        <f aca="false">IF(OR(B153="",D153=0),"",COUNTIFS(上位10件データ!$A:$A,$B153,上位10件データ!$F:$F,"&lt;100"))</f>
        <v/>
      </c>
      <c r="J153" s="19" t="str">
        <f aca="false">IF(E153="","",COUNTIF(L153:O153,"○")+IF(P153&gt;=0.5,1,0))</f>
        <v/>
      </c>
      <c r="K153" s="29" t="str">
        <f aca="false">IF(J153="","",IF(J153&gt;=設定!$B$19,"◎ 有力",IF(J153&gt;=設定!$B$20,"○ 候補",IF(J153&gt;=3,"△ 要検討","× 見送り"))))</f>
        <v/>
      </c>
      <c r="L153" s="19" t="str">
        <f aca="false">IF(E153="","",IF(E153&gt;=設定!$B$14,"○","×"))</f>
        <v/>
      </c>
      <c r="M153" s="19" t="str">
        <f aca="false">IF(H153="","",IF(H153&lt;=設定!$B$15,"○","×"))</f>
        <v/>
      </c>
      <c r="N153" s="19" t="str">
        <f aca="false">IF(I153="","",IF(I153&gt;=設定!$B$16,"○","×"))</f>
        <v/>
      </c>
      <c r="O153" s="19" t="str">
        <f aca="false">IF(G153="","",IF(AND(G153&gt;=設定!$B$17,G153&lt;=設定!$B$18),"○","×"))</f>
        <v/>
      </c>
      <c r="P153" s="30" t="str">
        <f aca="false">IF(OR(B153="",D153=0),"",COUNTIFS(上位10件データ!$A:$A,$B153,上位10件データ!$H:$H,"はい")/D153)</f>
        <v/>
      </c>
      <c r="Q153" s="22"/>
    </row>
    <row r="154" customFormat="false" ht="15" hidden="false" customHeight="true" outlineLevel="0" collapsed="false">
      <c r="A154" s="19" t="str">
        <f aca="false">IF(B154="","",ROW()-1)</f>
        <v/>
      </c>
      <c r="B154" s="22"/>
      <c r="C154" s="9"/>
      <c r="D154" s="19" t="str">
        <f aca="false">IF(B154="","",COUNTIFS(上位10件データ!$A:$A,$B154))</f>
        <v/>
      </c>
      <c r="E154" s="28" t="str">
        <f aca="false">IF(OR(B154="",D154=0),"",AVERAGEIFS(上位10件データ!$G:$G,上位10件データ!$A:$A,$B154))</f>
        <v/>
      </c>
      <c r="F154" s="28" t="str">
        <f aca="false">IF(OR(B154="",D154=0),"",SUMIFS(上位10件データ!$G:$G,上位10件データ!$A:$A,$B154))</f>
        <v/>
      </c>
      <c r="G154" s="28" t="str">
        <f aca="false">IF(OR(B154="",D154=0),"",AVERAGEIFS(上位10件データ!$E:$E,上位10件データ!$A:$A,$B154))</f>
        <v/>
      </c>
      <c r="H154" s="19" t="str">
        <f aca="false">IF(OR(B154="",D154=0),"",COUNTIFS(上位10件データ!$A:$A,$B154,上位10件データ!$F:$F,"&gt;=1000"))</f>
        <v/>
      </c>
      <c r="I154" s="19" t="str">
        <f aca="false">IF(OR(B154="",D154=0),"",COUNTIFS(上位10件データ!$A:$A,$B154,上位10件データ!$F:$F,"&lt;100"))</f>
        <v/>
      </c>
      <c r="J154" s="19" t="str">
        <f aca="false">IF(E154="","",COUNTIF(L154:O154,"○")+IF(P154&gt;=0.5,1,0))</f>
        <v/>
      </c>
      <c r="K154" s="29" t="str">
        <f aca="false">IF(J154="","",IF(J154&gt;=設定!$B$19,"◎ 有力",IF(J154&gt;=設定!$B$20,"○ 候補",IF(J154&gt;=3,"△ 要検討","× 見送り"))))</f>
        <v/>
      </c>
      <c r="L154" s="19" t="str">
        <f aca="false">IF(E154="","",IF(E154&gt;=設定!$B$14,"○","×"))</f>
        <v/>
      </c>
      <c r="M154" s="19" t="str">
        <f aca="false">IF(H154="","",IF(H154&lt;=設定!$B$15,"○","×"))</f>
        <v/>
      </c>
      <c r="N154" s="19" t="str">
        <f aca="false">IF(I154="","",IF(I154&gt;=設定!$B$16,"○","×"))</f>
        <v/>
      </c>
      <c r="O154" s="19" t="str">
        <f aca="false">IF(G154="","",IF(AND(G154&gt;=設定!$B$17,G154&lt;=設定!$B$18),"○","×"))</f>
        <v/>
      </c>
      <c r="P154" s="30" t="str">
        <f aca="false">IF(OR(B154="",D154=0),"",COUNTIFS(上位10件データ!$A:$A,$B154,上位10件データ!$H:$H,"はい")/D154)</f>
        <v/>
      </c>
      <c r="Q154" s="22"/>
    </row>
    <row r="155" customFormat="false" ht="15" hidden="false" customHeight="true" outlineLevel="0" collapsed="false">
      <c r="A155" s="19" t="str">
        <f aca="false">IF(B155="","",ROW()-1)</f>
        <v/>
      </c>
      <c r="B155" s="22"/>
      <c r="C155" s="9"/>
      <c r="D155" s="19" t="str">
        <f aca="false">IF(B155="","",COUNTIFS(上位10件データ!$A:$A,$B155))</f>
        <v/>
      </c>
      <c r="E155" s="28" t="str">
        <f aca="false">IF(OR(B155="",D155=0),"",AVERAGEIFS(上位10件データ!$G:$G,上位10件データ!$A:$A,$B155))</f>
        <v/>
      </c>
      <c r="F155" s="28" t="str">
        <f aca="false">IF(OR(B155="",D155=0),"",SUMIFS(上位10件データ!$G:$G,上位10件データ!$A:$A,$B155))</f>
        <v/>
      </c>
      <c r="G155" s="28" t="str">
        <f aca="false">IF(OR(B155="",D155=0),"",AVERAGEIFS(上位10件データ!$E:$E,上位10件データ!$A:$A,$B155))</f>
        <v/>
      </c>
      <c r="H155" s="19" t="str">
        <f aca="false">IF(OR(B155="",D155=0),"",COUNTIFS(上位10件データ!$A:$A,$B155,上位10件データ!$F:$F,"&gt;=1000"))</f>
        <v/>
      </c>
      <c r="I155" s="19" t="str">
        <f aca="false">IF(OR(B155="",D155=0),"",COUNTIFS(上位10件データ!$A:$A,$B155,上位10件データ!$F:$F,"&lt;100"))</f>
        <v/>
      </c>
      <c r="J155" s="19" t="str">
        <f aca="false">IF(E155="","",COUNTIF(L155:O155,"○")+IF(P155&gt;=0.5,1,0))</f>
        <v/>
      </c>
      <c r="K155" s="29" t="str">
        <f aca="false">IF(J155="","",IF(J155&gt;=設定!$B$19,"◎ 有力",IF(J155&gt;=設定!$B$20,"○ 候補",IF(J155&gt;=3,"△ 要検討","× 見送り"))))</f>
        <v/>
      </c>
      <c r="L155" s="19" t="str">
        <f aca="false">IF(E155="","",IF(E155&gt;=設定!$B$14,"○","×"))</f>
        <v/>
      </c>
      <c r="M155" s="19" t="str">
        <f aca="false">IF(H155="","",IF(H155&lt;=設定!$B$15,"○","×"))</f>
        <v/>
      </c>
      <c r="N155" s="19" t="str">
        <f aca="false">IF(I155="","",IF(I155&gt;=設定!$B$16,"○","×"))</f>
        <v/>
      </c>
      <c r="O155" s="19" t="str">
        <f aca="false">IF(G155="","",IF(AND(G155&gt;=設定!$B$17,G155&lt;=設定!$B$18),"○","×"))</f>
        <v/>
      </c>
      <c r="P155" s="30" t="str">
        <f aca="false">IF(OR(B155="",D155=0),"",COUNTIFS(上位10件データ!$A:$A,$B155,上位10件データ!$H:$H,"はい")/D155)</f>
        <v/>
      </c>
      <c r="Q155" s="22"/>
    </row>
    <row r="156" customFormat="false" ht="15" hidden="false" customHeight="true" outlineLevel="0" collapsed="false">
      <c r="A156" s="19" t="str">
        <f aca="false">IF(B156="","",ROW()-1)</f>
        <v/>
      </c>
      <c r="B156" s="22"/>
      <c r="C156" s="9"/>
      <c r="D156" s="19" t="str">
        <f aca="false">IF(B156="","",COUNTIFS(上位10件データ!$A:$A,$B156))</f>
        <v/>
      </c>
      <c r="E156" s="28" t="str">
        <f aca="false">IF(OR(B156="",D156=0),"",AVERAGEIFS(上位10件データ!$G:$G,上位10件データ!$A:$A,$B156))</f>
        <v/>
      </c>
      <c r="F156" s="28" t="str">
        <f aca="false">IF(OR(B156="",D156=0),"",SUMIFS(上位10件データ!$G:$G,上位10件データ!$A:$A,$B156))</f>
        <v/>
      </c>
      <c r="G156" s="28" t="str">
        <f aca="false">IF(OR(B156="",D156=0),"",AVERAGEIFS(上位10件データ!$E:$E,上位10件データ!$A:$A,$B156))</f>
        <v/>
      </c>
      <c r="H156" s="19" t="str">
        <f aca="false">IF(OR(B156="",D156=0),"",COUNTIFS(上位10件データ!$A:$A,$B156,上位10件データ!$F:$F,"&gt;=1000"))</f>
        <v/>
      </c>
      <c r="I156" s="19" t="str">
        <f aca="false">IF(OR(B156="",D156=0),"",COUNTIFS(上位10件データ!$A:$A,$B156,上位10件データ!$F:$F,"&lt;100"))</f>
        <v/>
      </c>
      <c r="J156" s="19" t="str">
        <f aca="false">IF(E156="","",COUNTIF(L156:O156,"○")+IF(P156&gt;=0.5,1,0))</f>
        <v/>
      </c>
      <c r="K156" s="29" t="str">
        <f aca="false">IF(J156="","",IF(J156&gt;=設定!$B$19,"◎ 有力",IF(J156&gt;=設定!$B$20,"○ 候補",IF(J156&gt;=3,"△ 要検討","× 見送り"))))</f>
        <v/>
      </c>
      <c r="L156" s="19" t="str">
        <f aca="false">IF(E156="","",IF(E156&gt;=設定!$B$14,"○","×"))</f>
        <v/>
      </c>
      <c r="M156" s="19" t="str">
        <f aca="false">IF(H156="","",IF(H156&lt;=設定!$B$15,"○","×"))</f>
        <v/>
      </c>
      <c r="N156" s="19" t="str">
        <f aca="false">IF(I156="","",IF(I156&gt;=設定!$B$16,"○","×"))</f>
        <v/>
      </c>
      <c r="O156" s="19" t="str">
        <f aca="false">IF(G156="","",IF(AND(G156&gt;=設定!$B$17,G156&lt;=設定!$B$18),"○","×"))</f>
        <v/>
      </c>
      <c r="P156" s="30" t="str">
        <f aca="false">IF(OR(B156="",D156=0),"",COUNTIFS(上位10件データ!$A:$A,$B156,上位10件データ!$H:$H,"はい")/D156)</f>
        <v/>
      </c>
      <c r="Q156" s="22"/>
    </row>
    <row r="157" customFormat="false" ht="15" hidden="false" customHeight="true" outlineLevel="0" collapsed="false">
      <c r="A157" s="19" t="str">
        <f aca="false">IF(B157="","",ROW()-1)</f>
        <v/>
      </c>
      <c r="B157" s="22"/>
      <c r="C157" s="9"/>
      <c r="D157" s="19" t="str">
        <f aca="false">IF(B157="","",COUNTIFS(上位10件データ!$A:$A,$B157))</f>
        <v/>
      </c>
      <c r="E157" s="28" t="str">
        <f aca="false">IF(OR(B157="",D157=0),"",AVERAGEIFS(上位10件データ!$G:$G,上位10件データ!$A:$A,$B157))</f>
        <v/>
      </c>
      <c r="F157" s="28" t="str">
        <f aca="false">IF(OR(B157="",D157=0),"",SUMIFS(上位10件データ!$G:$G,上位10件データ!$A:$A,$B157))</f>
        <v/>
      </c>
      <c r="G157" s="28" t="str">
        <f aca="false">IF(OR(B157="",D157=0),"",AVERAGEIFS(上位10件データ!$E:$E,上位10件データ!$A:$A,$B157))</f>
        <v/>
      </c>
      <c r="H157" s="19" t="str">
        <f aca="false">IF(OR(B157="",D157=0),"",COUNTIFS(上位10件データ!$A:$A,$B157,上位10件データ!$F:$F,"&gt;=1000"))</f>
        <v/>
      </c>
      <c r="I157" s="19" t="str">
        <f aca="false">IF(OR(B157="",D157=0),"",COUNTIFS(上位10件データ!$A:$A,$B157,上位10件データ!$F:$F,"&lt;100"))</f>
        <v/>
      </c>
      <c r="J157" s="19" t="str">
        <f aca="false">IF(E157="","",COUNTIF(L157:O157,"○")+IF(P157&gt;=0.5,1,0))</f>
        <v/>
      </c>
      <c r="K157" s="29" t="str">
        <f aca="false">IF(J157="","",IF(J157&gt;=設定!$B$19,"◎ 有力",IF(J157&gt;=設定!$B$20,"○ 候補",IF(J157&gt;=3,"△ 要検討","× 見送り"))))</f>
        <v/>
      </c>
      <c r="L157" s="19" t="str">
        <f aca="false">IF(E157="","",IF(E157&gt;=設定!$B$14,"○","×"))</f>
        <v/>
      </c>
      <c r="M157" s="19" t="str">
        <f aca="false">IF(H157="","",IF(H157&lt;=設定!$B$15,"○","×"))</f>
        <v/>
      </c>
      <c r="N157" s="19" t="str">
        <f aca="false">IF(I157="","",IF(I157&gt;=設定!$B$16,"○","×"))</f>
        <v/>
      </c>
      <c r="O157" s="19" t="str">
        <f aca="false">IF(G157="","",IF(AND(G157&gt;=設定!$B$17,G157&lt;=設定!$B$18),"○","×"))</f>
        <v/>
      </c>
      <c r="P157" s="30" t="str">
        <f aca="false">IF(OR(B157="",D157=0),"",COUNTIFS(上位10件データ!$A:$A,$B157,上位10件データ!$H:$H,"はい")/D157)</f>
        <v/>
      </c>
      <c r="Q157" s="22"/>
    </row>
    <row r="158" customFormat="false" ht="15" hidden="false" customHeight="true" outlineLevel="0" collapsed="false">
      <c r="A158" s="19" t="str">
        <f aca="false">IF(B158="","",ROW()-1)</f>
        <v/>
      </c>
      <c r="B158" s="22"/>
      <c r="C158" s="9"/>
      <c r="D158" s="19" t="str">
        <f aca="false">IF(B158="","",COUNTIFS(上位10件データ!$A:$A,$B158))</f>
        <v/>
      </c>
      <c r="E158" s="28" t="str">
        <f aca="false">IF(OR(B158="",D158=0),"",AVERAGEIFS(上位10件データ!$G:$G,上位10件データ!$A:$A,$B158))</f>
        <v/>
      </c>
      <c r="F158" s="28" t="str">
        <f aca="false">IF(OR(B158="",D158=0),"",SUMIFS(上位10件データ!$G:$G,上位10件データ!$A:$A,$B158))</f>
        <v/>
      </c>
      <c r="G158" s="28" t="str">
        <f aca="false">IF(OR(B158="",D158=0),"",AVERAGEIFS(上位10件データ!$E:$E,上位10件データ!$A:$A,$B158))</f>
        <v/>
      </c>
      <c r="H158" s="19" t="str">
        <f aca="false">IF(OR(B158="",D158=0),"",COUNTIFS(上位10件データ!$A:$A,$B158,上位10件データ!$F:$F,"&gt;=1000"))</f>
        <v/>
      </c>
      <c r="I158" s="19" t="str">
        <f aca="false">IF(OR(B158="",D158=0),"",COUNTIFS(上位10件データ!$A:$A,$B158,上位10件データ!$F:$F,"&lt;100"))</f>
        <v/>
      </c>
      <c r="J158" s="19" t="str">
        <f aca="false">IF(E158="","",COUNTIF(L158:O158,"○")+IF(P158&gt;=0.5,1,0))</f>
        <v/>
      </c>
      <c r="K158" s="29" t="str">
        <f aca="false">IF(J158="","",IF(J158&gt;=設定!$B$19,"◎ 有力",IF(J158&gt;=設定!$B$20,"○ 候補",IF(J158&gt;=3,"△ 要検討","× 見送り"))))</f>
        <v/>
      </c>
      <c r="L158" s="19" t="str">
        <f aca="false">IF(E158="","",IF(E158&gt;=設定!$B$14,"○","×"))</f>
        <v/>
      </c>
      <c r="M158" s="19" t="str">
        <f aca="false">IF(H158="","",IF(H158&lt;=設定!$B$15,"○","×"))</f>
        <v/>
      </c>
      <c r="N158" s="19" t="str">
        <f aca="false">IF(I158="","",IF(I158&gt;=設定!$B$16,"○","×"))</f>
        <v/>
      </c>
      <c r="O158" s="19" t="str">
        <f aca="false">IF(G158="","",IF(AND(G158&gt;=設定!$B$17,G158&lt;=設定!$B$18),"○","×"))</f>
        <v/>
      </c>
      <c r="P158" s="30" t="str">
        <f aca="false">IF(OR(B158="",D158=0),"",COUNTIFS(上位10件データ!$A:$A,$B158,上位10件データ!$H:$H,"はい")/D158)</f>
        <v/>
      </c>
      <c r="Q158" s="22"/>
    </row>
    <row r="159" customFormat="false" ht="15" hidden="false" customHeight="true" outlineLevel="0" collapsed="false">
      <c r="A159" s="19" t="str">
        <f aca="false">IF(B159="","",ROW()-1)</f>
        <v/>
      </c>
      <c r="B159" s="22"/>
      <c r="C159" s="9"/>
      <c r="D159" s="19" t="str">
        <f aca="false">IF(B159="","",COUNTIFS(上位10件データ!$A:$A,$B159))</f>
        <v/>
      </c>
      <c r="E159" s="28" t="str">
        <f aca="false">IF(OR(B159="",D159=0),"",AVERAGEIFS(上位10件データ!$G:$G,上位10件データ!$A:$A,$B159))</f>
        <v/>
      </c>
      <c r="F159" s="28" t="str">
        <f aca="false">IF(OR(B159="",D159=0),"",SUMIFS(上位10件データ!$G:$G,上位10件データ!$A:$A,$B159))</f>
        <v/>
      </c>
      <c r="G159" s="28" t="str">
        <f aca="false">IF(OR(B159="",D159=0),"",AVERAGEIFS(上位10件データ!$E:$E,上位10件データ!$A:$A,$B159))</f>
        <v/>
      </c>
      <c r="H159" s="19" t="str">
        <f aca="false">IF(OR(B159="",D159=0),"",COUNTIFS(上位10件データ!$A:$A,$B159,上位10件データ!$F:$F,"&gt;=1000"))</f>
        <v/>
      </c>
      <c r="I159" s="19" t="str">
        <f aca="false">IF(OR(B159="",D159=0),"",COUNTIFS(上位10件データ!$A:$A,$B159,上位10件データ!$F:$F,"&lt;100"))</f>
        <v/>
      </c>
      <c r="J159" s="19" t="str">
        <f aca="false">IF(E159="","",COUNTIF(L159:O159,"○")+IF(P159&gt;=0.5,1,0))</f>
        <v/>
      </c>
      <c r="K159" s="29" t="str">
        <f aca="false">IF(J159="","",IF(J159&gt;=設定!$B$19,"◎ 有力",IF(J159&gt;=設定!$B$20,"○ 候補",IF(J159&gt;=3,"△ 要検討","× 見送り"))))</f>
        <v/>
      </c>
      <c r="L159" s="19" t="str">
        <f aca="false">IF(E159="","",IF(E159&gt;=設定!$B$14,"○","×"))</f>
        <v/>
      </c>
      <c r="M159" s="19" t="str">
        <f aca="false">IF(H159="","",IF(H159&lt;=設定!$B$15,"○","×"))</f>
        <v/>
      </c>
      <c r="N159" s="19" t="str">
        <f aca="false">IF(I159="","",IF(I159&gt;=設定!$B$16,"○","×"))</f>
        <v/>
      </c>
      <c r="O159" s="19" t="str">
        <f aca="false">IF(G159="","",IF(AND(G159&gt;=設定!$B$17,G159&lt;=設定!$B$18),"○","×"))</f>
        <v/>
      </c>
      <c r="P159" s="30" t="str">
        <f aca="false">IF(OR(B159="",D159=0),"",COUNTIFS(上位10件データ!$A:$A,$B159,上位10件データ!$H:$H,"はい")/D159)</f>
        <v/>
      </c>
      <c r="Q159" s="22"/>
    </row>
    <row r="160" customFormat="false" ht="15" hidden="false" customHeight="true" outlineLevel="0" collapsed="false">
      <c r="A160" s="19" t="str">
        <f aca="false">IF(B160="","",ROW()-1)</f>
        <v/>
      </c>
      <c r="B160" s="22"/>
      <c r="C160" s="9"/>
      <c r="D160" s="19" t="str">
        <f aca="false">IF(B160="","",COUNTIFS(上位10件データ!$A:$A,$B160))</f>
        <v/>
      </c>
      <c r="E160" s="28" t="str">
        <f aca="false">IF(OR(B160="",D160=0),"",AVERAGEIFS(上位10件データ!$G:$G,上位10件データ!$A:$A,$B160))</f>
        <v/>
      </c>
      <c r="F160" s="28" t="str">
        <f aca="false">IF(OR(B160="",D160=0),"",SUMIFS(上位10件データ!$G:$G,上位10件データ!$A:$A,$B160))</f>
        <v/>
      </c>
      <c r="G160" s="28" t="str">
        <f aca="false">IF(OR(B160="",D160=0),"",AVERAGEIFS(上位10件データ!$E:$E,上位10件データ!$A:$A,$B160))</f>
        <v/>
      </c>
      <c r="H160" s="19" t="str">
        <f aca="false">IF(OR(B160="",D160=0),"",COUNTIFS(上位10件データ!$A:$A,$B160,上位10件データ!$F:$F,"&gt;=1000"))</f>
        <v/>
      </c>
      <c r="I160" s="19" t="str">
        <f aca="false">IF(OR(B160="",D160=0),"",COUNTIFS(上位10件データ!$A:$A,$B160,上位10件データ!$F:$F,"&lt;100"))</f>
        <v/>
      </c>
      <c r="J160" s="19" t="str">
        <f aca="false">IF(E160="","",COUNTIF(L160:O160,"○")+IF(P160&gt;=0.5,1,0))</f>
        <v/>
      </c>
      <c r="K160" s="29" t="str">
        <f aca="false">IF(J160="","",IF(J160&gt;=設定!$B$19,"◎ 有力",IF(J160&gt;=設定!$B$20,"○ 候補",IF(J160&gt;=3,"△ 要検討","× 見送り"))))</f>
        <v/>
      </c>
      <c r="L160" s="19" t="str">
        <f aca="false">IF(E160="","",IF(E160&gt;=設定!$B$14,"○","×"))</f>
        <v/>
      </c>
      <c r="M160" s="19" t="str">
        <f aca="false">IF(H160="","",IF(H160&lt;=設定!$B$15,"○","×"))</f>
        <v/>
      </c>
      <c r="N160" s="19" t="str">
        <f aca="false">IF(I160="","",IF(I160&gt;=設定!$B$16,"○","×"))</f>
        <v/>
      </c>
      <c r="O160" s="19" t="str">
        <f aca="false">IF(G160="","",IF(AND(G160&gt;=設定!$B$17,G160&lt;=設定!$B$18),"○","×"))</f>
        <v/>
      </c>
      <c r="P160" s="30" t="str">
        <f aca="false">IF(OR(B160="",D160=0),"",COUNTIFS(上位10件データ!$A:$A,$B160,上位10件データ!$H:$H,"はい")/D160)</f>
        <v/>
      </c>
      <c r="Q160" s="22"/>
    </row>
    <row r="161" customFormat="false" ht="15" hidden="false" customHeight="true" outlineLevel="0" collapsed="false">
      <c r="A161" s="19" t="str">
        <f aca="false">IF(B161="","",ROW()-1)</f>
        <v/>
      </c>
      <c r="B161" s="22"/>
      <c r="C161" s="9"/>
      <c r="D161" s="19" t="str">
        <f aca="false">IF(B161="","",COUNTIFS(上位10件データ!$A:$A,$B161))</f>
        <v/>
      </c>
      <c r="E161" s="28" t="str">
        <f aca="false">IF(OR(B161="",D161=0),"",AVERAGEIFS(上位10件データ!$G:$G,上位10件データ!$A:$A,$B161))</f>
        <v/>
      </c>
      <c r="F161" s="28" t="str">
        <f aca="false">IF(OR(B161="",D161=0),"",SUMIFS(上位10件データ!$G:$G,上位10件データ!$A:$A,$B161))</f>
        <v/>
      </c>
      <c r="G161" s="28" t="str">
        <f aca="false">IF(OR(B161="",D161=0),"",AVERAGEIFS(上位10件データ!$E:$E,上位10件データ!$A:$A,$B161))</f>
        <v/>
      </c>
      <c r="H161" s="19" t="str">
        <f aca="false">IF(OR(B161="",D161=0),"",COUNTIFS(上位10件データ!$A:$A,$B161,上位10件データ!$F:$F,"&gt;=1000"))</f>
        <v/>
      </c>
      <c r="I161" s="19" t="str">
        <f aca="false">IF(OR(B161="",D161=0),"",COUNTIFS(上位10件データ!$A:$A,$B161,上位10件データ!$F:$F,"&lt;100"))</f>
        <v/>
      </c>
      <c r="J161" s="19" t="str">
        <f aca="false">IF(E161="","",COUNTIF(L161:O161,"○")+IF(P161&gt;=0.5,1,0))</f>
        <v/>
      </c>
      <c r="K161" s="29" t="str">
        <f aca="false">IF(J161="","",IF(J161&gt;=設定!$B$19,"◎ 有力",IF(J161&gt;=設定!$B$20,"○ 候補",IF(J161&gt;=3,"△ 要検討","× 見送り"))))</f>
        <v/>
      </c>
      <c r="L161" s="19" t="str">
        <f aca="false">IF(E161="","",IF(E161&gt;=設定!$B$14,"○","×"))</f>
        <v/>
      </c>
      <c r="M161" s="19" t="str">
        <f aca="false">IF(H161="","",IF(H161&lt;=設定!$B$15,"○","×"))</f>
        <v/>
      </c>
      <c r="N161" s="19" t="str">
        <f aca="false">IF(I161="","",IF(I161&gt;=設定!$B$16,"○","×"))</f>
        <v/>
      </c>
      <c r="O161" s="19" t="str">
        <f aca="false">IF(G161="","",IF(AND(G161&gt;=設定!$B$17,G161&lt;=設定!$B$18),"○","×"))</f>
        <v/>
      </c>
      <c r="P161" s="30" t="str">
        <f aca="false">IF(OR(B161="",D161=0),"",COUNTIFS(上位10件データ!$A:$A,$B161,上位10件データ!$H:$H,"はい")/D161)</f>
        <v/>
      </c>
      <c r="Q161" s="22"/>
    </row>
    <row r="162" customFormat="false" ht="15" hidden="false" customHeight="true" outlineLevel="0" collapsed="false">
      <c r="A162" s="19" t="str">
        <f aca="false">IF(B162="","",ROW()-1)</f>
        <v/>
      </c>
      <c r="B162" s="22"/>
      <c r="C162" s="9"/>
      <c r="D162" s="19" t="str">
        <f aca="false">IF(B162="","",COUNTIFS(上位10件データ!$A:$A,$B162))</f>
        <v/>
      </c>
      <c r="E162" s="28" t="str">
        <f aca="false">IF(OR(B162="",D162=0),"",AVERAGEIFS(上位10件データ!$G:$G,上位10件データ!$A:$A,$B162))</f>
        <v/>
      </c>
      <c r="F162" s="28" t="str">
        <f aca="false">IF(OR(B162="",D162=0),"",SUMIFS(上位10件データ!$G:$G,上位10件データ!$A:$A,$B162))</f>
        <v/>
      </c>
      <c r="G162" s="28" t="str">
        <f aca="false">IF(OR(B162="",D162=0),"",AVERAGEIFS(上位10件データ!$E:$E,上位10件データ!$A:$A,$B162))</f>
        <v/>
      </c>
      <c r="H162" s="19" t="str">
        <f aca="false">IF(OR(B162="",D162=0),"",COUNTIFS(上位10件データ!$A:$A,$B162,上位10件データ!$F:$F,"&gt;=1000"))</f>
        <v/>
      </c>
      <c r="I162" s="19" t="str">
        <f aca="false">IF(OR(B162="",D162=0),"",COUNTIFS(上位10件データ!$A:$A,$B162,上位10件データ!$F:$F,"&lt;100"))</f>
        <v/>
      </c>
      <c r="J162" s="19" t="str">
        <f aca="false">IF(E162="","",COUNTIF(L162:O162,"○")+IF(P162&gt;=0.5,1,0))</f>
        <v/>
      </c>
      <c r="K162" s="29" t="str">
        <f aca="false">IF(J162="","",IF(J162&gt;=設定!$B$19,"◎ 有力",IF(J162&gt;=設定!$B$20,"○ 候補",IF(J162&gt;=3,"△ 要検討","× 見送り"))))</f>
        <v/>
      </c>
      <c r="L162" s="19" t="str">
        <f aca="false">IF(E162="","",IF(E162&gt;=設定!$B$14,"○","×"))</f>
        <v/>
      </c>
      <c r="M162" s="19" t="str">
        <f aca="false">IF(H162="","",IF(H162&lt;=設定!$B$15,"○","×"))</f>
        <v/>
      </c>
      <c r="N162" s="19" t="str">
        <f aca="false">IF(I162="","",IF(I162&gt;=設定!$B$16,"○","×"))</f>
        <v/>
      </c>
      <c r="O162" s="19" t="str">
        <f aca="false">IF(G162="","",IF(AND(G162&gt;=設定!$B$17,G162&lt;=設定!$B$18),"○","×"))</f>
        <v/>
      </c>
      <c r="P162" s="30" t="str">
        <f aca="false">IF(OR(B162="",D162=0),"",COUNTIFS(上位10件データ!$A:$A,$B162,上位10件データ!$H:$H,"はい")/D162)</f>
        <v/>
      </c>
      <c r="Q162" s="22"/>
    </row>
    <row r="163" customFormat="false" ht="15" hidden="false" customHeight="true" outlineLevel="0" collapsed="false">
      <c r="A163" s="19" t="str">
        <f aca="false">IF(B163="","",ROW()-1)</f>
        <v/>
      </c>
      <c r="B163" s="22"/>
      <c r="C163" s="9"/>
      <c r="D163" s="19" t="str">
        <f aca="false">IF(B163="","",COUNTIFS(上位10件データ!$A:$A,$B163))</f>
        <v/>
      </c>
      <c r="E163" s="28" t="str">
        <f aca="false">IF(OR(B163="",D163=0),"",AVERAGEIFS(上位10件データ!$G:$G,上位10件データ!$A:$A,$B163))</f>
        <v/>
      </c>
      <c r="F163" s="28" t="str">
        <f aca="false">IF(OR(B163="",D163=0),"",SUMIFS(上位10件データ!$G:$G,上位10件データ!$A:$A,$B163))</f>
        <v/>
      </c>
      <c r="G163" s="28" t="str">
        <f aca="false">IF(OR(B163="",D163=0),"",AVERAGEIFS(上位10件データ!$E:$E,上位10件データ!$A:$A,$B163))</f>
        <v/>
      </c>
      <c r="H163" s="19" t="str">
        <f aca="false">IF(OR(B163="",D163=0),"",COUNTIFS(上位10件データ!$A:$A,$B163,上位10件データ!$F:$F,"&gt;=1000"))</f>
        <v/>
      </c>
      <c r="I163" s="19" t="str">
        <f aca="false">IF(OR(B163="",D163=0),"",COUNTIFS(上位10件データ!$A:$A,$B163,上位10件データ!$F:$F,"&lt;100"))</f>
        <v/>
      </c>
      <c r="J163" s="19" t="str">
        <f aca="false">IF(E163="","",COUNTIF(L163:O163,"○")+IF(P163&gt;=0.5,1,0))</f>
        <v/>
      </c>
      <c r="K163" s="29" t="str">
        <f aca="false">IF(J163="","",IF(J163&gt;=設定!$B$19,"◎ 有力",IF(J163&gt;=設定!$B$20,"○ 候補",IF(J163&gt;=3,"△ 要検討","× 見送り"))))</f>
        <v/>
      </c>
      <c r="L163" s="19" t="str">
        <f aca="false">IF(E163="","",IF(E163&gt;=設定!$B$14,"○","×"))</f>
        <v/>
      </c>
      <c r="M163" s="19" t="str">
        <f aca="false">IF(H163="","",IF(H163&lt;=設定!$B$15,"○","×"))</f>
        <v/>
      </c>
      <c r="N163" s="19" t="str">
        <f aca="false">IF(I163="","",IF(I163&gt;=設定!$B$16,"○","×"))</f>
        <v/>
      </c>
      <c r="O163" s="19" t="str">
        <f aca="false">IF(G163="","",IF(AND(G163&gt;=設定!$B$17,G163&lt;=設定!$B$18),"○","×"))</f>
        <v/>
      </c>
      <c r="P163" s="30" t="str">
        <f aca="false">IF(OR(B163="",D163=0),"",COUNTIFS(上位10件データ!$A:$A,$B163,上位10件データ!$H:$H,"はい")/D163)</f>
        <v/>
      </c>
      <c r="Q163" s="22"/>
    </row>
    <row r="164" customFormat="false" ht="15" hidden="false" customHeight="true" outlineLevel="0" collapsed="false">
      <c r="A164" s="19" t="str">
        <f aca="false">IF(B164="","",ROW()-1)</f>
        <v/>
      </c>
      <c r="B164" s="22"/>
      <c r="C164" s="9"/>
      <c r="D164" s="19" t="str">
        <f aca="false">IF(B164="","",COUNTIFS(上位10件データ!$A:$A,$B164))</f>
        <v/>
      </c>
      <c r="E164" s="28" t="str">
        <f aca="false">IF(OR(B164="",D164=0),"",AVERAGEIFS(上位10件データ!$G:$G,上位10件データ!$A:$A,$B164))</f>
        <v/>
      </c>
      <c r="F164" s="28" t="str">
        <f aca="false">IF(OR(B164="",D164=0),"",SUMIFS(上位10件データ!$G:$G,上位10件データ!$A:$A,$B164))</f>
        <v/>
      </c>
      <c r="G164" s="28" t="str">
        <f aca="false">IF(OR(B164="",D164=0),"",AVERAGEIFS(上位10件データ!$E:$E,上位10件データ!$A:$A,$B164))</f>
        <v/>
      </c>
      <c r="H164" s="19" t="str">
        <f aca="false">IF(OR(B164="",D164=0),"",COUNTIFS(上位10件データ!$A:$A,$B164,上位10件データ!$F:$F,"&gt;=1000"))</f>
        <v/>
      </c>
      <c r="I164" s="19" t="str">
        <f aca="false">IF(OR(B164="",D164=0),"",COUNTIFS(上位10件データ!$A:$A,$B164,上位10件データ!$F:$F,"&lt;100"))</f>
        <v/>
      </c>
      <c r="J164" s="19" t="str">
        <f aca="false">IF(E164="","",COUNTIF(L164:O164,"○")+IF(P164&gt;=0.5,1,0))</f>
        <v/>
      </c>
      <c r="K164" s="29" t="str">
        <f aca="false">IF(J164="","",IF(J164&gt;=設定!$B$19,"◎ 有力",IF(J164&gt;=設定!$B$20,"○ 候補",IF(J164&gt;=3,"△ 要検討","× 見送り"))))</f>
        <v/>
      </c>
      <c r="L164" s="19" t="str">
        <f aca="false">IF(E164="","",IF(E164&gt;=設定!$B$14,"○","×"))</f>
        <v/>
      </c>
      <c r="M164" s="19" t="str">
        <f aca="false">IF(H164="","",IF(H164&lt;=設定!$B$15,"○","×"))</f>
        <v/>
      </c>
      <c r="N164" s="19" t="str">
        <f aca="false">IF(I164="","",IF(I164&gt;=設定!$B$16,"○","×"))</f>
        <v/>
      </c>
      <c r="O164" s="19" t="str">
        <f aca="false">IF(G164="","",IF(AND(G164&gt;=設定!$B$17,G164&lt;=設定!$B$18),"○","×"))</f>
        <v/>
      </c>
      <c r="P164" s="30" t="str">
        <f aca="false">IF(OR(B164="",D164=0),"",COUNTIFS(上位10件データ!$A:$A,$B164,上位10件データ!$H:$H,"はい")/D164)</f>
        <v/>
      </c>
      <c r="Q164" s="22"/>
    </row>
    <row r="165" customFormat="false" ht="15" hidden="false" customHeight="true" outlineLevel="0" collapsed="false">
      <c r="A165" s="19" t="str">
        <f aca="false">IF(B165="","",ROW()-1)</f>
        <v/>
      </c>
      <c r="B165" s="22"/>
      <c r="C165" s="9"/>
      <c r="D165" s="19" t="str">
        <f aca="false">IF(B165="","",COUNTIFS(上位10件データ!$A:$A,$B165))</f>
        <v/>
      </c>
      <c r="E165" s="28" t="str">
        <f aca="false">IF(OR(B165="",D165=0),"",AVERAGEIFS(上位10件データ!$G:$G,上位10件データ!$A:$A,$B165))</f>
        <v/>
      </c>
      <c r="F165" s="28" t="str">
        <f aca="false">IF(OR(B165="",D165=0),"",SUMIFS(上位10件データ!$G:$G,上位10件データ!$A:$A,$B165))</f>
        <v/>
      </c>
      <c r="G165" s="28" t="str">
        <f aca="false">IF(OR(B165="",D165=0),"",AVERAGEIFS(上位10件データ!$E:$E,上位10件データ!$A:$A,$B165))</f>
        <v/>
      </c>
      <c r="H165" s="19" t="str">
        <f aca="false">IF(OR(B165="",D165=0),"",COUNTIFS(上位10件データ!$A:$A,$B165,上位10件データ!$F:$F,"&gt;=1000"))</f>
        <v/>
      </c>
      <c r="I165" s="19" t="str">
        <f aca="false">IF(OR(B165="",D165=0),"",COUNTIFS(上位10件データ!$A:$A,$B165,上位10件データ!$F:$F,"&lt;100"))</f>
        <v/>
      </c>
      <c r="J165" s="19" t="str">
        <f aca="false">IF(E165="","",COUNTIF(L165:O165,"○")+IF(P165&gt;=0.5,1,0))</f>
        <v/>
      </c>
      <c r="K165" s="29" t="str">
        <f aca="false">IF(J165="","",IF(J165&gt;=設定!$B$19,"◎ 有力",IF(J165&gt;=設定!$B$20,"○ 候補",IF(J165&gt;=3,"△ 要検討","× 見送り"))))</f>
        <v/>
      </c>
      <c r="L165" s="19" t="str">
        <f aca="false">IF(E165="","",IF(E165&gt;=設定!$B$14,"○","×"))</f>
        <v/>
      </c>
      <c r="M165" s="19" t="str">
        <f aca="false">IF(H165="","",IF(H165&lt;=設定!$B$15,"○","×"))</f>
        <v/>
      </c>
      <c r="N165" s="19" t="str">
        <f aca="false">IF(I165="","",IF(I165&gt;=設定!$B$16,"○","×"))</f>
        <v/>
      </c>
      <c r="O165" s="19" t="str">
        <f aca="false">IF(G165="","",IF(AND(G165&gt;=設定!$B$17,G165&lt;=設定!$B$18),"○","×"))</f>
        <v/>
      </c>
      <c r="P165" s="30" t="str">
        <f aca="false">IF(OR(B165="",D165=0),"",COUNTIFS(上位10件データ!$A:$A,$B165,上位10件データ!$H:$H,"はい")/D165)</f>
        <v/>
      </c>
      <c r="Q165" s="22"/>
    </row>
    <row r="166" customFormat="false" ht="15" hidden="false" customHeight="true" outlineLevel="0" collapsed="false">
      <c r="A166" s="19" t="str">
        <f aca="false">IF(B166="","",ROW()-1)</f>
        <v/>
      </c>
      <c r="B166" s="22"/>
      <c r="C166" s="9"/>
      <c r="D166" s="19" t="str">
        <f aca="false">IF(B166="","",COUNTIFS(上位10件データ!$A:$A,$B166))</f>
        <v/>
      </c>
      <c r="E166" s="28" t="str">
        <f aca="false">IF(OR(B166="",D166=0),"",AVERAGEIFS(上位10件データ!$G:$G,上位10件データ!$A:$A,$B166))</f>
        <v/>
      </c>
      <c r="F166" s="28" t="str">
        <f aca="false">IF(OR(B166="",D166=0),"",SUMIFS(上位10件データ!$G:$G,上位10件データ!$A:$A,$B166))</f>
        <v/>
      </c>
      <c r="G166" s="28" t="str">
        <f aca="false">IF(OR(B166="",D166=0),"",AVERAGEIFS(上位10件データ!$E:$E,上位10件データ!$A:$A,$B166))</f>
        <v/>
      </c>
      <c r="H166" s="19" t="str">
        <f aca="false">IF(OR(B166="",D166=0),"",COUNTIFS(上位10件データ!$A:$A,$B166,上位10件データ!$F:$F,"&gt;=1000"))</f>
        <v/>
      </c>
      <c r="I166" s="19" t="str">
        <f aca="false">IF(OR(B166="",D166=0),"",COUNTIFS(上位10件データ!$A:$A,$B166,上位10件データ!$F:$F,"&lt;100"))</f>
        <v/>
      </c>
      <c r="J166" s="19" t="str">
        <f aca="false">IF(E166="","",COUNTIF(L166:O166,"○")+IF(P166&gt;=0.5,1,0))</f>
        <v/>
      </c>
      <c r="K166" s="29" t="str">
        <f aca="false">IF(J166="","",IF(J166&gt;=設定!$B$19,"◎ 有力",IF(J166&gt;=設定!$B$20,"○ 候補",IF(J166&gt;=3,"△ 要検討","× 見送り"))))</f>
        <v/>
      </c>
      <c r="L166" s="19" t="str">
        <f aca="false">IF(E166="","",IF(E166&gt;=設定!$B$14,"○","×"))</f>
        <v/>
      </c>
      <c r="M166" s="19" t="str">
        <f aca="false">IF(H166="","",IF(H166&lt;=設定!$B$15,"○","×"))</f>
        <v/>
      </c>
      <c r="N166" s="19" t="str">
        <f aca="false">IF(I166="","",IF(I166&gt;=設定!$B$16,"○","×"))</f>
        <v/>
      </c>
      <c r="O166" s="19" t="str">
        <f aca="false">IF(G166="","",IF(AND(G166&gt;=設定!$B$17,G166&lt;=設定!$B$18),"○","×"))</f>
        <v/>
      </c>
      <c r="P166" s="30" t="str">
        <f aca="false">IF(OR(B166="",D166=0),"",COUNTIFS(上位10件データ!$A:$A,$B166,上位10件データ!$H:$H,"はい")/D166)</f>
        <v/>
      </c>
      <c r="Q166" s="22"/>
    </row>
    <row r="167" customFormat="false" ht="15" hidden="false" customHeight="true" outlineLevel="0" collapsed="false">
      <c r="A167" s="19" t="str">
        <f aca="false">IF(B167="","",ROW()-1)</f>
        <v/>
      </c>
      <c r="B167" s="22"/>
      <c r="C167" s="9"/>
      <c r="D167" s="19" t="str">
        <f aca="false">IF(B167="","",COUNTIFS(上位10件データ!$A:$A,$B167))</f>
        <v/>
      </c>
      <c r="E167" s="28" t="str">
        <f aca="false">IF(OR(B167="",D167=0),"",AVERAGEIFS(上位10件データ!$G:$G,上位10件データ!$A:$A,$B167))</f>
        <v/>
      </c>
      <c r="F167" s="28" t="str">
        <f aca="false">IF(OR(B167="",D167=0),"",SUMIFS(上位10件データ!$G:$G,上位10件データ!$A:$A,$B167))</f>
        <v/>
      </c>
      <c r="G167" s="28" t="str">
        <f aca="false">IF(OR(B167="",D167=0),"",AVERAGEIFS(上位10件データ!$E:$E,上位10件データ!$A:$A,$B167))</f>
        <v/>
      </c>
      <c r="H167" s="19" t="str">
        <f aca="false">IF(OR(B167="",D167=0),"",COUNTIFS(上位10件データ!$A:$A,$B167,上位10件データ!$F:$F,"&gt;=1000"))</f>
        <v/>
      </c>
      <c r="I167" s="19" t="str">
        <f aca="false">IF(OR(B167="",D167=0),"",COUNTIFS(上位10件データ!$A:$A,$B167,上位10件データ!$F:$F,"&lt;100"))</f>
        <v/>
      </c>
      <c r="J167" s="19" t="str">
        <f aca="false">IF(E167="","",COUNTIF(L167:O167,"○")+IF(P167&gt;=0.5,1,0))</f>
        <v/>
      </c>
      <c r="K167" s="29" t="str">
        <f aca="false">IF(J167="","",IF(J167&gt;=設定!$B$19,"◎ 有力",IF(J167&gt;=設定!$B$20,"○ 候補",IF(J167&gt;=3,"△ 要検討","× 見送り"))))</f>
        <v/>
      </c>
      <c r="L167" s="19" t="str">
        <f aca="false">IF(E167="","",IF(E167&gt;=設定!$B$14,"○","×"))</f>
        <v/>
      </c>
      <c r="M167" s="19" t="str">
        <f aca="false">IF(H167="","",IF(H167&lt;=設定!$B$15,"○","×"))</f>
        <v/>
      </c>
      <c r="N167" s="19" t="str">
        <f aca="false">IF(I167="","",IF(I167&gt;=設定!$B$16,"○","×"))</f>
        <v/>
      </c>
      <c r="O167" s="19" t="str">
        <f aca="false">IF(G167="","",IF(AND(G167&gt;=設定!$B$17,G167&lt;=設定!$B$18),"○","×"))</f>
        <v/>
      </c>
      <c r="P167" s="30" t="str">
        <f aca="false">IF(OR(B167="",D167=0),"",COUNTIFS(上位10件データ!$A:$A,$B167,上位10件データ!$H:$H,"はい")/D167)</f>
        <v/>
      </c>
      <c r="Q167" s="22"/>
    </row>
    <row r="168" customFormat="false" ht="15" hidden="false" customHeight="true" outlineLevel="0" collapsed="false">
      <c r="A168" s="19" t="str">
        <f aca="false">IF(B168="","",ROW()-1)</f>
        <v/>
      </c>
      <c r="B168" s="22"/>
      <c r="C168" s="9"/>
      <c r="D168" s="19" t="str">
        <f aca="false">IF(B168="","",COUNTIFS(上位10件データ!$A:$A,$B168))</f>
        <v/>
      </c>
      <c r="E168" s="28" t="str">
        <f aca="false">IF(OR(B168="",D168=0),"",AVERAGEIFS(上位10件データ!$G:$G,上位10件データ!$A:$A,$B168))</f>
        <v/>
      </c>
      <c r="F168" s="28" t="str">
        <f aca="false">IF(OR(B168="",D168=0),"",SUMIFS(上位10件データ!$G:$G,上位10件データ!$A:$A,$B168))</f>
        <v/>
      </c>
      <c r="G168" s="28" t="str">
        <f aca="false">IF(OR(B168="",D168=0),"",AVERAGEIFS(上位10件データ!$E:$E,上位10件データ!$A:$A,$B168))</f>
        <v/>
      </c>
      <c r="H168" s="19" t="str">
        <f aca="false">IF(OR(B168="",D168=0),"",COUNTIFS(上位10件データ!$A:$A,$B168,上位10件データ!$F:$F,"&gt;=1000"))</f>
        <v/>
      </c>
      <c r="I168" s="19" t="str">
        <f aca="false">IF(OR(B168="",D168=0),"",COUNTIFS(上位10件データ!$A:$A,$B168,上位10件データ!$F:$F,"&lt;100"))</f>
        <v/>
      </c>
      <c r="J168" s="19" t="str">
        <f aca="false">IF(E168="","",COUNTIF(L168:O168,"○")+IF(P168&gt;=0.5,1,0))</f>
        <v/>
      </c>
      <c r="K168" s="29" t="str">
        <f aca="false">IF(J168="","",IF(J168&gt;=設定!$B$19,"◎ 有力",IF(J168&gt;=設定!$B$20,"○ 候補",IF(J168&gt;=3,"△ 要検討","× 見送り"))))</f>
        <v/>
      </c>
      <c r="L168" s="19" t="str">
        <f aca="false">IF(E168="","",IF(E168&gt;=設定!$B$14,"○","×"))</f>
        <v/>
      </c>
      <c r="M168" s="19" t="str">
        <f aca="false">IF(H168="","",IF(H168&lt;=設定!$B$15,"○","×"))</f>
        <v/>
      </c>
      <c r="N168" s="19" t="str">
        <f aca="false">IF(I168="","",IF(I168&gt;=設定!$B$16,"○","×"))</f>
        <v/>
      </c>
      <c r="O168" s="19" t="str">
        <f aca="false">IF(G168="","",IF(AND(G168&gt;=設定!$B$17,G168&lt;=設定!$B$18),"○","×"))</f>
        <v/>
      </c>
      <c r="P168" s="30" t="str">
        <f aca="false">IF(OR(B168="",D168=0),"",COUNTIFS(上位10件データ!$A:$A,$B168,上位10件データ!$H:$H,"はい")/D168)</f>
        <v/>
      </c>
      <c r="Q168" s="22"/>
    </row>
    <row r="169" customFormat="false" ht="15" hidden="false" customHeight="true" outlineLevel="0" collapsed="false">
      <c r="A169" s="19" t="str">
        <f aca="false">IF(B169="","",ROW()-1)</f>
        <v/>
      </c>
      <c r="B169" s="22"/>
      <c r="C169" s="9"/>
      <c r="D169" s="19" t="str">
        <f aca="false">IF(B169="","",COUNTIFS(上位10件データ!$A:$A,$B169))</f>
        <v/>
      </c>
      <c r="E169" s="28" t="str">
        <f aca="false">IF(OR(B169="",D169=0),"",AVERAGEIFS(上位10件データ!$G:$G,上位10件データ!$A:$A,$B169))</f>
        <v/>
      </c>
      <c r="F169" s="28" t="str">
        <f aca="false">IF(OR(B169="",D169=0),"",SUMIFS(上位10件データ!$G:$G,上位10件データ!$A:$A,$B169))</f>
        <v/>
      </c>
      <c r="G169" s="28" t="str">
        <f aca="false">IF(OR(B169="",D169=0),"",AVERAGEIFS(上位10件データ!$E:$E,上位10件データ!$A:$A,$B169))</f>
        <v/>
      </c>
      <c r="H169" s="19" t="str">
        <f aca="false">IF(OR(B169="",D169=0),"",COUNTIFS(上位10件データ!$A:$A,$B169,上位10件データ!$F:$F,"&gt;=1000"))</f>
        <v/>
      </c>
      <c r="I169" s="19" t="str">
        <f aca="false">IF(OR(B169="",D169=0),"",COUNTIFS(上位10件データ!$A:$A,$B169,上位10件データ!$F:$F,"&lt;100"))</f>
        <v/>
      </c>
      <c r="J169" s="19" t="str">
        <f aca="false">IF(E169="","",COUNTIF(L169:O169,"○")+IF(P169&gt;=0.5,1,0))</f>
        <v/>
      </c>
      <c r="K169" s="29" t="str">
        <f aca="false">IF(J169="","",IF(J169&gt;=設定!$B$19,"◎ 有力",IF(J169&gt;=設定!$B$20,"○ 候補",IF(J169&gt;=3,"△ 要検討","× 見送り"))))</f>
        <v/>
      </c>
      <c r="L169" s="19" t="str">
        <f aca="false">IF(E169="","",IF(E169&gt;=設定!$B$14,"○","×"))</f>
        <v/>
      </c>
      <c r="M169" s="19" t="str">
        <f aca="false">IF(H169="","",IF(H169&lt;=設定!$B$15,"○","×"))</f>
        <v/>
      </c>
      <c r="N169" s="19" t="str">
        <f aca="false">IF(I169="","",IF(I169&gt;=設定!$B$16,"○","×"))</f>
        <v/>
      </c>
      <c r="O169" s="19" t="str">
        <f aca="false">IF(G169="","",IF(AND(G169&gt;=設定!$B$17,G169&lt;=設定!$B$18),"○","×"))</f>
        <v/>
      </c>
      <c r="P169" s="30" t="str">
        <f aca="false">IF(OR(B169="",D169=0),"",COUNTIFS(上位10件データ!$A:$A,$B169,上位10件データ!$H:$H,"はい")/D169)</f>
        <v/>
      </c>
      <c r="Q169" s="22"/>
    </row>
    <row r="170" customFormat="false" ht="15" hidden="false" customHeight="true" outlineLevel="0" collapsed="false">
      <c r="A170" s="19" t="str">
        <f aca="false">IF(B170="","",ROW()-1)</f>
        <v/>
      </c>
      <c r="B170" s="22"/>
      <c r="C170" s="9"/>
      <c r="D170" s="19" t="str">
        <f aca="false">IF(B170="","",COUNTIFS(上位10件データ!$A:$A,$B170))</f>
        <v/>
      </c>
      <c r="E170" s="28" t="str">
        <f aca="false">IF(OR(B170="",D170=0),"",AVERAGEIFS(上位10件データ!$G:$G,上位10件データ!$A:$A,$B170))</f>
        <v/>
      </c>
      <c r="F170" s="28" t="str">
        <f aca="false">IF(OR(B170="",D170=0),"",SUMIFS(上位10件データ!$G:$G,上位10件データ!$A:$A,$B170))</f>
        <v/>
      </c>
      <c r="G170" s="28" t="str">
        <f aca="false">IF(OR(B170="",D170=0),"",AVERAGEIFS(上位10件データ!$E:$E,上位10件データ!$A:$A,$B170))</f>
        <v/>
      </c>
      <c r="H170" s="19" t="str">
        <f aca="false">IF(OR(B170="",D170=0),"",COUNTIFS(上位10件データ!$A:$A,$B170,上位10件データ!$F:$F,"&gt;=1000"))</f>
        <v/>
      </c>
      <c r="I170" s="19" t="str">
        <f aca="false">IF(OR(B170="",D170=0),"",COUNTIFS(上位10件データ!$A:$A,$B170,上位10件データ!$F:$F,"&lt;100"))</f>
        <v/>
      </c>
      <c r="J170" s="19" t="str">
        <f aca="false">IF(E170="","",COUNTIF(L170:O170,"○")+IF(P170&gt;=0.5,1,0))</f>
        <v/>
      </c>
      <c r="K170" s="29" t="str">
        <f aca="false">IF(J170="","",IF(J170&gt;=設定!$B$19,"◎ 有力",IF(J170&gt;=設定!$B$20,"○ 候補",IF(J170&gt;=3,"△ 要検討","× 見送り"))))</f>
        <v/>
      </c>
      <c r="L170" s="19" t="str">
        <f aca="false">IF(E170="","",IF(E170&gt;=設定!$B$14,"○","×"))</f>
        <v/>
      </c>
      <c r="M170" s="19" t="str">
        <f aca="false">IF(H170="","",IF(H170&lt;=設定!$B$15,"○","×"))</f>
        <v/>
      </c>
      <c r="N170" s="19" t="str">
        <f aca="false">IF(I170="","",IF(I170&gt;=設定!$B$16,"○","×"))</f>
        <v/>
      </c>
      <c r="O170" s="19" t="str">
        <f aca="false">IF(G170="","",IF(AND(G170&gt;=設定!$B$17,G170&lt;=設定!$B$18),"○","×"))</f>
        <v/>
      </c>
      <c r="P170" s="30" t="str">
        <f aca="false">IF(OR(B170="",D170=0),"",COUNTIFS(上位10件データ!$A:$A,$B170,上位10件データ!$H:$H,"はい")/D170)</f>
        <v/>
      </c>
      <c r="Q170" s="22"/>
    </row>
    <row r="171" customFormat="false" ht="15" hidden="false" customHeight="true" outlineLevel="0" collapsed="false">
      <c r="A171" s="19" t="str">
        <f aca="false">IF(B171="","",ROW()-1)</f>
        <v/>
      </c>
      <c r="B171" s="22"/>
      <c r="C171" s="9"/>
      <c r="D171" s="19" t="str">
        <f aca="false">IF(B171="","",COUNTIFS(上位10件データ!$A:$A,$B171))</f>
        <v/>
      </c>
      <c r="E171" s="28" t="str">
        <f aca="false">IF(OR(B171="",D171=0),"",AVERAGEIFS(上位10件データ!$G:$G,上位10件データ!$A:$A,$B171))</f>
        <v/>
      </c>
      <c r="F171" s="28" t="str">
        <f aca="false">IF(OR(B171="",D171=0),"",SUMIFS(上位10件データ!$G:$G,上位10件データ!$A:$A,$B171))</f>
        <v/>
      </c>
      <c r="G171" s="28" t="str">
        <f aca="false">IF(OR(B171="",D171=0),"",AVERAGEIFS(上位10件データ!$E:$E,上位10件データ!$A:$A,$B171))</f>
        <v/>
      </c>
      <c r="H171" s="19" t="str">
        <f aca="false">IF(OR(B171="",D171=0),"",COUNTIFS(上位10件データ!$A:$A,$B171,上位10件データ!$F:$F,"&gt;=1000"))</f>
        <v/>
      </c>
      <c r="I171" s="19" t="str">
        <f aca="false">IF(OR(B171="",D171=0),"",COUNTIFS(上位10件データ!$A:$A,$B171,上位10件データ!$F:$F,"&lt;100"))</f>
        <v/>
      </c>
      <c r="J171" s="19" t="str">
        <f aca="false">IF(E171="","",COUNTIF(L171:O171,"○")+IF(P171&gt;=0.5,1,0))</f>
        <v/>
      </c>
      <c r="K171" s="29" t="str">
        <f aca="false">IF(J171="","",IF(J171&gt;=設定!$B$19,"◎ 有力",IF(J171&gt;=設定!$B$20,"○ 候補",IF(J171&gt;=3,"△ 要検討","× 見送り"))))</f>
        <v/>
      </c>
      <c r="L171" s="19" t="str">
        <f aca="false">IF(E171="","",IF(E171&gt;=設定!$B$14,"○","×"))</f>
        <v/>
      </c>
      <c r="M171" s="19" t="str">
        <f aca="false">IF(H171="","",IF(H171&lt;=設定!$B$15,"○","×"))</f>
        <v/>
      </c>
      <c r="N171" s="19" t="str">
        <f aca="false">IF(I171="","",IF(I171&gt;=設定!$B$16,"○","×"))</f>
        <v/>
      </c>
      <c r="O171" s="19" t="str">
        <f aca="false">IF(G171="","",IF(AND(G171&gt;=設定!$B$17,G171&lt;=設定!$B$18),"○","×"))</f>
        <v/>
      </c>
      <c r="P171" s="30" t="str">
        <f aca="false">IF(OR(B171="",D171=0),"",COUNTIFS(上位10件データ!$A:$A,$B171,上位10件データ!$H:$H,"はい")/D171)</f>
        <v/>
      </c>
      <c r="Q171" s="22"/>
    </row>
    <row r="172" customFormat="false" ht="15" hidden="false" customHeight="true" outlineLevel="0" collapsed="false">
      <c r="A172" s="19" t="str">
        <f aca="false">IF(B172="","",ROW()-1)</f>
        <v/>
      </c>
      <c r="B172" s="22"/>
      <c r="C172" s="9"/>
      <c r="D172" s="19" t="str">
        <f aca="false">IF(B172="","",COUNTIFS(上位10件データ!$A:$A,$B172))</f>
        <v/>
      </c>
      <c r="E172" s="28" t="str">
        <f aca="false">IF(OR(B172="",D172=0),"",AVERAGEIFS(上位10件データ!$G:$G,上位10件データ!$A:$A,$B172))</f>
        <v/>
      </c>
      <c r="F172" s="28" t="str">
        <f aca="false">IF(OR(B172="",D172=0),"",SUMIFS(上位10件データ!$G:$G,上位10件データ!$A:$A,$B172))</f>
        <v/>
      </c>
      <c r="G172" s="28" t="str">
        <f aca="false">IF(OR(B172="",D172=0),"",AVERAGEIFS(上位10件データ!$E:$E,上位10件データ!$A:$A,$B172))</f>
        <v/>
      </c>
      <c r="H172" s="19" t="str">
        <f aca="false">IF(OR(B172="",D172=0),"",COUNTIFS(上位10件データ!$A:$A,$B172,上位10件データ!$F:$F,"&gt;=1000"))</f>
        <v/>
      </c>
      <c r="I172" s="19" t="str">
        <f aca="false">IF(OR(B172="",D172=0),"",COUNTIFS(上位10件データ!$A:$A,$B172,上位10件データ!$F:$F,"&lt;100"))</f>
        <v/>
      </c>
      <c r="J172" s="19" t="str">
        <f aca="false">IF(E172="","",COUNTIF(L172:O172,"○")+IF(P172&gt;=0.5,1,0))</f>
        <v/>
      </c>
      <c r="K172" s="29" t="str">
        <f aca="false">IF(J172="","",IF(J172&gt;=設定!$B$19,"◎ 有力",IF(J172&gt;=設定!$B$20,"○ 候補",IF(J172&gt;=3,"△ 要検討","× 見送り"))))</f>
        <v/>
      </c>
      <c r="L172" s="19" t="str">
        <f aca="false">IF(E172="","",IF(E172&gt;=設定!$B$14,"○","×"))</f>
        <v/>
      </c>
      <c r="M172" s="19" t="str">
        <f aca="false">IF(H172="","",IF(H172&lt;=設定!$B$15,"○","×"))</f>
        <v/>
      </c>
      <c r="N172" s="19" t="str">
        <f aca="false">IF(I172="","",IF(I172&gt;=設定!$B$16,"○","×"))</f>
        <v/>
      </c>
      <c r="O172" s="19" t="str">
        <f aca="false">IF(G172="","",IF(AND(G172&gt;=設定!$B$17,G172&lt;=設定!$B$18),"○","×"))</f>
        <v/>
      </c>
      <c r="P172" s="30" t="str">
        <f aca="false">IF(OR(B172="",D172=0),"",COUNTIFS(上位10件データ!$A:$A,$B172,上位10件データ!$H:$H,"はい")/D172)</f>
        <v/>
      </c>
      <c r="Q172" s="22"/>
    </row>
    <row r="173" customFormat="false" ht="15" hidden="false" customHeight="true" outlineLevel="0" collapsed="false">
      <c r="A173" s="19" t="str">
        <f aca="false">IF(B173="","",ROW()-1)</f>
        <v/>
      </c>
      <c r="B173" s="22"/>
      <c r="C173" s="9"/>
      <c r="D173" s="19" t="str">
        <f aca="false">IF(B173="","",COUNTIFS(上位10件データ!$A:$A,$B173))</f>
        <v/>
      </c>
      <c r="E173" s="28" t="str">
        <f aca="false">IF(OR(B173="",D173=0),"",AVERAGEIFS(上位10件データ!$G:$G,上位10件データ!$A:$A,$B173))</f>
        <v/>
      </c>
      <c r="F173" s="28" t="str">
        <f aca="false">IF(OR(B173="",D173=0),"",SUMIFS(上位10件データ!$G:$G,上位10件データ!$A:$A,$B173))</f>
        <v/>
      </c>
      <c r="G173" s="28" t="str">
        <f aca="false">IF(OR(B173="",D173=0),"",AVERAGEIFS(上位10件データ!$E:$E,上位10件データ!$A:$A,$B173))</f>
        <v/>
      </c>
      <c r="H173" s="19" t="str">
        <f aca="false">IF(OR(B173="",D173=0),"",COUNTIFS(上位10件データ!$A:$A,$B173,上位10件データ!$F:$F,"&gt;=1000"))</f>
        <v/>
      </c>
      <c r="I173" s="19" t="str">
        <f aca="false">IF(OR(B173="",D173=0),"",COUNTIFS(上位10件データ!$A:$A,$B173,上位10件データ!$F:$F,"&lt;100"))</f>
        <v/>
      </c>
      <c r="J173" s="19" t="str">
        <f aca="false">IF(E173="","",COUNTIF(L173:O173,"○")+IF(P173&gt;=0.5,1,0))</f>
        <v/>
      </c>
      <c r="K173" s="29" t="str">
        <f aca="false">IF(J173="","",IF(J173&gt;=設定!$B$19,"◎ 有力",IF(J173&gt;=設定!$B$20,"○ 候補",IF(J173&gt;=3,"△ 要検討","× 見送り"))))</f>
        <v/>
      </c>
      <c r="L173" s="19" t="str">
        <f aca="false">IF(E173="","",IF(E173&gt;=設定!$B$14,"○","×"))</f>
        <v/>
      </c>
      <c r="M173" s="19" t="str">
        <f aca="false">IF(H173="","",IF(H173&lt;=設定!$B$15,"○","×"))</f>
        <v/>
      </c>
      <c r="N173" s="19" t="str">
        <f aca="false">IF(I173="","",IF(I173&gt;=設定!$B$16,"○","×"))</f>
        <v/>
      </c>
      <c r="O173" s="19" t="str">
        <f aca="false">IF(G173="","",IF(AND(G173&gt;=設定!$B$17,G173&lt;=設定!$B$18),"○","×"))</f>
        <v/>
      </c>
      <c r="P173" s="30" t="str">
        <f aca="false">IF(OR(B173="",D173=0),"",COUNTIFS(上位10件データ!$A:$A,$B173,上位10件データ!$H:$H,"はい")/D173)</f>
        <v/>
      </c>
      <c r="Q173" s="22"/>
    </row>
    <row r="174" customFormat="false" ht="15" hidden="false" customHeight="true" outlineLevel="0" collapsed="false">
      <c r="A174" s="19" t="str">
        <f aca="false">IF(B174="","",ROW()-1)</f>
        <v/>
      </c>
      <c r="B174" s="22"/>
      <c r="C174" s="9"/>
      <c r="D174" s="19" t="str">
        <f aca="false">IF(B174="","",COUNTIFS(上位10件データ!$A:$A,$B174))</f>
        <v/>
      </c>
      <c r="E174" s="28" t="str">
        <f aca="false">IF(OR(B174="",D174=0),"",AVERAGEIFS(上位10件データ!$G:$G,上位10件データ!$A:$A,$B174))</f>
        <v/>
      </c>
      <c r="F174" s="28" t="str">
        <f aca="false">IF(OR(B174="",D174=0),"",SUMIFS(上位10件データ!$G:$G,上位10件データ!$A:$A,$B174))</f>
        <v/>
      </c>
      <c r="G174" s="28" t="str">
        <f aca="false">IF(OR(B174="",D174=0),"",AVERAGEIFS(上位10件データ!$E:$E,上位10件データ!$A:$A,$B174))</f>
        <v/>
      </c>
      <c r="H174" s="19" t="str">
        <f aca="false">IF(OR(B174="",D174=0),"",COUNTIFS(上位10件データ!$A:$A,$B174,上位10件データ!$F:$F,"&gt;=1000"))</f>
        <v/>
      </c>
      <c r="I174" s="19" t="str">
        <f aca="false">IF(OR(B174="",D174=0),"",COUNTIFS(上位10件データ!$A:$A,$B174,上位10件データ!$F:$F,"&lt;100"))</f>
        <v/>
      </c>
      <c r="J174" s="19" t="str">
        <f aca="false">IF(E174="","",COUNTIF(L174:O174,"○")+IF(P174&gt;=0.5,1,0))</f>
        <v/>
      </c>
      <c r="K174" s="29" t="str">
        <f aca="false">IF(J174="","",IF(J174&gt;=設定!$B$19,"◎ 有力",IF(J174&gt;=設定!$B$20,"○ 候補",IF(J174&gt;=3,"△ 要検討","× 見送り"))))</f>
        <v/>
      </c>
      <c r="L174" s="19" t="str">
        <f aca="false">IF(E174="","",IF(E174&gt;=設定!$B$14,"○","×"))</f>
        <v/>
      </c>
      <c r="M174" s="19" t="str">
        <f aca="false">IF(H174="","",IF(H174&lt;=設定!$B$15,"○","×"))</f>
        <v/>
      </c>
      <c r="N174" s="19" t="str">
        <f aca="false">IF(I174="","",IF(I174&gt;=設定!$B$16,"○","×"))</f>
        <v/>
      </c>
      <c r="O174" s="19" t="str">
        <f aca="false">IF(G174="","",IF(AND(G174&gt;=設定!$B$17,G174&lt;=設定!$B$18),"○","×"))</f>
        <v/>
      </c>
      <c r="P174" s="30" t="str">
        <f aca="false">IF(OR(B174="",D174=0),"",COUNTIFS(上位10件データ!$A:$A,$B174,上位10件データ!$H:$H,"はい")/D174)</f>
        <v/>
      </c>
      <c r="Q174" s="22"/>
    </row>
    <row r="175" customFormat="false" ht="15" hidden="false" customHeight="true" outlineLevel="0" collapsed="false">
      <c r="A175" s="19" t="str">
        <f aca="false">IF(B175="","",ROW()-1)</f>
        <v/>
      </c>
      <c r="B175" s="22"/>
      <c r="C175" s="9"/>
      <c r="D175" s="19" t="str">
        <f aca="false">IF(B175="","",COUNTIFS(上位10件データ!$A:$A,$B175))</f>
        <v/>
      </c>
      <c r="E175" s="28" t="str">
        <f aca="false">IF(OR(B175="",D175=0),"",AVERAGEIFS(上位10件データ!$G:$G,上位10件データ!$A:$A,$B175))</f>
        <v/>
      </c>
      <c r="F175" s="28" t="str">
        <f aca="false">IF(OR(B175="",D175=0),"",SUMIFS(上位10件データ!$G:$G,上位10件データ!$A:$A,$B175))</f>
        <v/>
      </c>
      <c r="G175" s="28" t="str">
        <f aca="false">IF(OR(B175="",D175=0),"",AVERAGEIFS(上位10件データ!$E:$E,上位10件データ!$A:$A,$B175))</f>
        <v/>
      </c>
      <c r="H175" s="19" t="str">
        <f aca="false">IF(OR(B175="",D175=0),"",COUNTIFS(上位10件データ!$A:$A,$B175,上位10件データ!$F:$F,"&gt;=1000"))</f>
        <v/>
      </c>
      <c r="I175" s="19" t="str">
        <f aca="false">IF(OR(B175="",D175=0),"",COUNTIFS(上位10件データ!$A:$A,$B175,上位10件データ!$F:$F,"&lt;100"))</f>
        <v/>
      </c>
      <c r="J175" s="19" t="str">
        <f aca="false">IF(E175="","",COUNTIF(L175:O175,"○")+IF(P175&gt;=0.5,1,0))</f>
        <v/>
      </c>
      <c r="K175" s="29" t="str">
        <f aca="false">IF(J175="","",IF(J175&gt;=設定!$B$19,"◎ 有力",IF(J175&gt;=設定!$B$20,"○ 候補",IF(J175&gt;=3,"△ 要検討","× 見送り"))))</f>
        <v/>
      </c>
      <c r="L175" s="19" t="str">
        <f aca="false">IF(E175="","",IF(E175&gt;=設定!$B$14,"○","×"))</f>
        <v/>
      </c>
      <c r="M175" s="19" t="str">
        <f aca="false">IF(H175="","",IF(H175&lt;=設定!$B$15,"○","×"))</f>
        <v/>
      </c>
      <c r="N175" s="19" t="str">
        <f aca="false">IF(I175="","",IF(I175&gt;=設定!$B$16,"○","×"))</f>
        <v/>
      </c>
      <c r="O175" s="19" t="str">
        <f aca="false">IF(G175="","",IF(AND(G175&gt;=設定!$B$17,G175&lt;=設定!$B$18),"○","×"))</f>
        <v/>
      </c>
      <c r="P175" s="30" t="str">
        <f aca="false">IF(OR(B175="",D175=0),"",COUNTIFS(上位10件データ!$A:$A,$B175,上位10件データ!$H:$H,"はい")/D175)</f>
        <v/>
      </c>
      <c r="Q175" s="22"/>
    </row>
    <row r="176" customFormat="false" ht="15" hidden="false" customHeight="true" outlineLevel="0" collapsed="false">
      <c r="A176" s="19" t="str">
        <f aca="false">IF(B176="","",ROW()-1)</f>
        <v/>
      </c>
      <c r="B176" s="22"/>
      <c r="C176" s="9"/>
      <c r="D176" s="19" t="str">
        <f aca="false">IF(B176="","",COUNTIFS(上位10件データ!$A:$A,$B176))</f>
        <v/>
      </c>
      <c r="E176" s="28" t="str">
        <f aca="false">IF(OR(B176="",D176=0),"",AVERAGEIFS(上位10件データ!$G:$G,上位10件データ!$A:$A,$B176))</f>
        <v/>
      </c>
      <c r="F176" s="28" t="str">
        <f aca="false">IF(OR(B176="",D176=0),"",SUMIFS(上位10件データ!$G:$G,上位10件データ!$A:$A,$B176))</f>
        <v/>
      </c>
      <c r="G176" s="28" t="str">
        <f aca="false">IF(OR(B176="",D176=0),"",AVERAGEIFS(上位10件データ!$E:$E,上位10件データ!$A:$A,$B176))</f>
        <v/>
      </c>
      <c r="H176" s="19" t="str">
        <f aca="false">IF(OR(B176="",D176=0),"",COUNTIFS(上位10件データ!$A:$A,$B176,上位10件データ!$F:$F,"&gt;=1000"))</f>
        <v/>
      </c>
      <c r="I176" s="19" t="str">
        <f aca="false">IF(OR(B176="",D176=0),"",COUNTIFS(上位10件データ!$A:$A,$B176,上位10件データ!$F:$F,"&lt;100"))</f>
        <v/>
      </c>
      <c r="J176" s="19" t="str">
        <f aca="false">IF(E176="","",COUNTIF(L176:O176,"○")+IF(P176&gt;=0.5,1,0))</f>
        <v/>
      </c>
      <c r="K176" s="29" t="str">
        <f aca="false">IF(J176="","",IF(J176&gt;=設定!$B$19,"◎ 有力",IF(J176&gt;=設定!$B$20,"○ 候補",IF(J176&gt;=3,"△ 要検討","× 見送り"))))</f>
        <v/>
      </c>
      <c r="L176" s="19" t="str">
        <f aca="false">IF(E176="","",IF(E176&gt;=設定!$B$14,"○","×"))</f>
        <v/>
      </c>
      <c r="M176" s="19" t="str">
        <f aca="false">IF(H176="","",IF(H176&lt;=設定!$B$15,"○","×"))</f>
        <v/>
      </c>
      <c r="N176" s="19" t="str">
        <f aca="false">IF(I176="","",IF(I176&gt;=設定!$B$16,"○","×"))</f>
        <v/>
      </c>
      <c r="O176" s="19" t="str">
        <f aca="false">IF(G176="","",IF(AND(G176&gt;=設定!$B$17,G176&lt;=設定!$B$18),"○","×"))</f>
        <v/>
      </c>
      <c r="P176" s="30" t="str">
        <f aca="false">IF(OR(B176="",D176=0),"",COUNTIFS(上位10件データ!$A:$A,$B176,上位10件データ!$H:$H,"はい")/D176)</f>
        <v/>
      </c>
      <c r="Q176" s="22"/>
    </row>
    <row r="177" customFormat="false" ht="15" hidden="false" customHeight="true" outlineLevel="0" collapsed="false">
      <c r="A177" s="19" t="str">
        <f aca="false">IF(B177="","",ROW()-1)</f>
        <v/>
      </c>
      <c r="B177" s="22"/>
      <c r="C177" s="9"/>
      <c r="D177" s="19" t="str">
        <f aca="false">IF(B177="","",COUNTIFS(上位10件データ!$A:$A,$B177))</f>
        <v/>
      </c>
      <c r="E177" s="28" t="str">
        <f aca="false">IF(OR(B177="",D177=0),"",AVERAGEIFS(上位10件データ!$G:$G,上位10件データ!$A:$A,$B177))</f>
        <v/>
      </c>
      <c r="F177" s="28" t="str">
        <f aca="false">IF(OR(B177="",D177=0),"",SUMIFS(上位10件データ!$G:$G,上位10件データ!$A:$A,$B177))</f>
        <v/>
      </c>
      <c r="G177" s="28" t="str">
        <f aca="false">IF(OR(B177="",D177=0),"",AVERAGEIFS(上位10件データ!$E:$E,上位10件データ!$A:$A,$B177))</f>
        <v/>
      </c>
      <c r="H177" s="19" t="str">
        <f aca="false">IF(OR(B177="",D177=0),"",COUNTIFS(上位10件データ!$A:$A,$B177,上位10件データ!$F:$F,"&gt;=1000"))</f>
        <v/>
      </c>
      <c r="I177" s="19" t="str">
        <f aca="false">IF(OR(B177="",D177=0),"",COUNTIFS(上位10件データ!$A:$A,$B177,上位10件データ!$F:$F,"&lt;100"))</f>
        <v/>
      </c>
      <c r="J177" s="19" t="str">
        <f aca="false">IF(E177="","",COUNTIF(L177:O177,"○")+IF(P177&gt;=0.5,1,0))</f>
        <v/>
      </c>
      <c r="K177" s="29" t="str">
        <f aca="false">IF(J177="","",IF(J177&gt;=設定!$B$19,"◎ 有力",IF(J177&gt;=設定!$B$20,"○ 候補",IF(J177&gt;=3,"△ 要検討","× 見送り"))))</f>
        <v/>
      </c>
      <c r="L177" s="19" t="str">
        <f aca="false">IF(E177="","",IF(E177&gt;=設定!$B$14,"○","×"))</f>
        <v/>
      </c>
      <c r="M177" s="19" t="str">
        <f aca="false">IF(H177="","",IF(H177&lt;=設定!$B$15,"○","×"))</f>
        <v/>
      </c>
      <c r="N177" s="19" t="str">
        <f aca="false">IF(I177="","",IF(I177&gt;=設定!$B$16,"○","×"))</f>
        <v/>
      </c>
      <c r="O177" s="19" t="str">
        <f aca="false">IF(G177="","",IF(AND(G177&gt;=設定!$B$17,G177&lt;=設定!$B$18),"○","×"))</f>
        <v/>
      </c>
      <c r="P177" s="30" t="str">
        <f aca="false">IF(OR(B177="",D177=0),"",COUNTIFS(上位10件データ!$A:$A,$B177,上位10件データ!$H:$H,"はい")/D177)</f>
        <v/>
      </c>
      <c r="Q177" s="22"/>
    </row>
    <row r="178" customFormat="false" ht="15" hidden="false" customHeight="true" outlineLevel="0" collapsed="false">
      <c r="A178" s="19" t="str">
        <f aca="false">IF(B178="","",ROW()-1)</f>
        <v/>
      </c>
      <c r="B178" s="22"/>
      <c r="C178" s="9"/>
      <c r="D178" s="19" t="str">
        <f aca="false">IF(B178="","",COUNTIFS(上位10件データ!$A:$A,$B178))</f>
        <v/>
      </c>
      <c r="E178" s="28" t="str">
        <f aca="false">IF(OR(B178="",D178=0),"",AVERAGEIFS(上位10件データ!$G:$G,上位10件データ!$A:$A,$B178))</f>
        <v/>
      </c>
      <c r="F178" s="28" t="str">
        <f aca="false">IF(OR(B178="",D178=0),"",SUMIFS(上位10件データ!$G:$G,上位10件データ!$A:$A,$B178))</f>
        <v/>
      </c>
      <c r="G178" s="28" t="str">
        <f aca="false">IF(OR(B178="",D178=0),"",AVERAGEIFS(上位10件データ!$E:$E,上位10件データ!$A:$A,$B178))</f>
        <v/>
      </c>
      <c r="H178" s="19" t="str">
        <f aca="false">IF(OR(B178="",D178=0),"",COUNTIFS(上位10件データ!$A:$A,$B178,上位10件データ!$F:$F,"&gt;=1000"))</f>
        <v/>
      </c>
      <c r="I178" s="19" t="str">
        <f aca="false">IF(OR(B178="",D178=0),"",COUNTIFS(上位10件データ!$A:$A,$B178,上位10件データ!$F:$F,"&lt;100"))</f>
        <v/>
      </c>
      <c r="J178" s="19" t="str">
        <f aca="false">IF(E178="","",COUNTIF(L178:O178,"○")+IF(P178&gt;=0.5,1,0))</f>
        <v/>
      </c>
      <c r="K178" s="29" t="str">
        <f aca="false">IF(J178="","",IF(J178&gt;=設定!$B$19,"◎ 有力",IF(J178&gt;=設定!$B$20,"○ 候補",IF(J178&gt;=3,"△ 要検討","× 見送り"))))</f>
        <v/>
      </c>
      <c r="L178" s="19" t="str">
        <f aca="false">IF(E178="","",IF(E178&gt;=設定!$B$14,"○","×"))</f>
        <v/>
      </c>
      <c r="M178" s="19" t="str">
        <f aca="false">IF(H178="","",IF(H178&lt;=設定!$B$15,"○","×"))</f>
        <v/>
      </c>
      <c r="N178" s="19" t="str">
        <f aca="false">IF(I178="","",IF(I178&gt;=設定!$B$16,"○","×"))</f>
        <v/>
      </c>
      <c r="O178" s="19" t="str">
        <f aca="false">IF(G178="","",IF(AND(G178&gt;=設定!$B$17,G178&lt;=設定!$B$18),"○","×"))</f>
        <v/>
      </c>
      <c r="P178" s="30" t="str">
        <f aca="false">IF(OR(B178="",D178=0),"",COUNTIFS(上位10件データ!$A:$A,$B178,上位10件データ!$H:$H,"はい")/D178)</f>
        <v/>
      </c>
      <c r="Q178" s="22"/>
    </row>
    <row r="179" customFormat="false" ht="15" hidden="false" customHeight="true" outlineLevel="0" collapsed="false">
      <c r="A179" s="19" t="str">
        <f aca="false">IF(B179="","",ROW()-1)</f>
        <v/>
      </c>
      <c r="B179" s="22"/>
      <c r="C179" s="9"/>
      <c r="D179" s="19" t="str">
        <f aca="false">IF(B179="","",COUNTIFS(上位10件データ!$A:$A,$B179))</f>
        <v/>
      </c>
      <c r="E179" s="28" t="str">
        <f aca="false">IF(OR(B179="",D179=0),"",AVERAGEIFS(上位10件データ!$G:$G,上位10件データ!$A:$A,$B179))</f>
        <v/>
      </c>
      <c r="F179" s="28" t="str">
        <f aca="false">IF(OR(B179="",D179=0),"",SUMIFS(上位10件データ!$G:$G,上位10件データ!$A:$A,$B179))</f>
        <v/>
      </c>
      <c r="G179" s="28" t="str">
        <f aca="false">IF(OR(B179="",D179=0),"",AVERAGEIFS(上位10件データ!$E:$E,上位10件データ!$A:$A,$B179))</f>
        <v/>
      </c>
      <c r="H179" s="19" t="str">
        <f aca="false">IF(OR(B179="",D179=0),"",COUNTIFS(上位10件データ!$A:$A,$B179,上位10件データ!$F:$F,"&gt;=1000"))</f>
        <v/>
      </c>
      <c r="I179" s="19" t="str">
        <f aca="false">IF(OR(B179="",D179=0),"",COUNTIFS(上位10件データ!$A:$A,$B179,上位10件データ!$F:$F,"&lt;100"))</f>
        <v/>
      </c>
      <c r="J179" s="19" t="str">
        <f aca="false">IF(E179="","",COUNTIF(L179:O179,"○")+IF(P179&gt;=0.5,1,0))</f>
        <v/>
      </c>
      <c r="K179" s="29" t="str">
        <f aca="false">IF(J179="","",IF(J179&gt;=設定!$B$19,"◎ 有力",IF(J179&gt;=設定!$B$20,"○ 候補",IF(J179&gt;=3,"△ 要検討","× 見送り"))))</f>
        <v/>
      </c>
      <c r="L179" s="19" t="str">
        <f aca="false">IF(E179="","",IF(E179&gt;=設定!$B$14,"○","×"))</f>
        <v/>
      </c>
      <c r="M179" s="19" t="str">
        <f aca="false">IF(H179="","",IF(H179&lt;=設定!$B$15,"○","×"))</f>
        <v/>
      </c>
      <c r="N179" s="19" t="str">
        <f aca="false">IF(I179="","",IF(I179&gt;=設定!$B$16,"○","×"))</f>
        <v/>
      </c>
      <c r="O179" s="19" t="str">
        <f aca="false">IF(G179="","",IF(AND(G179&gt;=設定!$B$17,G179&lt;=設定!$B$18),"○","×"))</f>
        <v/>
      </c>
      <c r="P179" s="30" t="str">
        <f aca="false">IF(OR(B179="",D179=0),"",COUNTIFS(上位10件データ!$A:$A,$B179,上位10件データ!$H:$H,"はい")/D179)</f>
        <v/>
      </c>
      <c r="Q179" s="22"/>
    </row>
    <row r="180" customFormat="false" ht="15" hidden="false" customHeight="true" outlineLevel="0" collapsed="false">
      <c r="A180" s="19" t="str">
        <f aca="false">IF(B180="","",ROW()-1)</f>
        <v/>
      </c>
      <c r="B180" s="22"/>
      <c r="C180" s="9"/>
      <c r="D180" s="19" t="str">
        <f aca="false">IF(B180="","",COUNTIFS(上位10件データ!$A:$A,$B180))</f>
        <v/>
      </c>
      <c r="E180" s="28" t="str">
        <f aca="false">IF(OR(B180="",D180=0),"",AVERAGEIFS(上位10件データ!$G:$G,上位10件データ!$A:$A,$B180))</f>
        <v/>
      </c>
      <c r="F180" s="28" t="str">
        <f aca="false">IF(OR(B180="",D180=0),"",SUMIFS(上位10件データ!$G:$G,上位10件データ!$A:$A,$B180))</f>
        <v/>
      </c>
      <c r="G180" s="28" t="str">
        <f aca="false">IF(OR(B180="",D180=0),"",AVERAGEIFS(上位10件データ!$E:$E,上位10件データ!$A:$A,$B180))</f>
        <v/>
      </c>
      <c r="H180" s="19" t="str">
        <f aca="false">IF(OR(B180="",D180=0),"",COUNTIFS(上位10件データ!$A:$A,$B180,上位10件データ!$F:$F,"&gt;=1000"))</f>
        <v/>
      </c>
      <c r="I180" s="19" t="str">
        <f aca="false">IF(OR(B180="",D180=0),"",COUNTIFS(上位10件データ!$A:$A,$B180,上位10件データ!$F:$F,"&lt;100"))</f>
        <v/>
      </c>
      <c r="J180" s="19" t="str">
        <f aca="false">IF(E180="","",COUNTIF(L180:O180,"○")+IF(P180&gt;=0.5,1,0))</f>
        <v/>
      </c>
      <c r="K180" s="29" t="str">
        <f aca="false">IF(J180="","",IF(J180&gt;=設定!$B$19,"◎ 有力",IF(J180&gt;=設定!$B$20,"○ 候補",IF(J180&gt;=3,"△ 要検討","× 見送り"))))</f>
        <v/>
      </c>
      <c r="L180" s="19" t="str">
        <f aca="false">IF(E180="","",IF(E180&gt;=設定!$B$14,"○","×"))</f>
        <v/>
      </c>
      <c r="M180" s="19" t="str">
        <f aca="false">IF(H180="","",IF(H180&lt;=設定!$B$15,"○","×"))</f>
        <v/>
      </c>
      <c r="N180" s="19" t="str">
        <f aca="false">IF(I180="","",IF(I180&gt;=設定!$B$16,"○","×"))</f>
        <v/>
      </c>
      <c r="O180" s="19" t="str">
        <f aca="false">IF(G180="","",IF(AND(G180&gt;=設定!$B$17,G180&lt;=設定!$B$18),"○","×"))</f>
        <v/>
      </c>
      <c r="P180" s="30" t="str">
        <f aca="false">IF(OR(B180="",D180=0),"",COUNTIFS(上位10件データ!$A:$A,$B180,上位10件データ!$H:$H,"はい")/D180)</f>
        <v/>
      </c>
      <c r="Q180" s="22"/>
    </row>
    <row r="181" customFormat="false" ht="15" hidden="false" customHeight="true" outlineLevel="0" collapsed="false">
      <c r="A181" s="19" t="str">
        <f aca="false">IF(B181="","",ROW()-1)</f>
        <v/>
      </c>
      <c r="B181" s="22"/>
      <c r="C181" s="9"/>
      <c r="D181" s="19" t="str">
        <f aca="false">IF(B181="","",COUNTIFS(上位10件データ!$A:$A,$B181))</f>
        <v/>
      </c>
      <c r="E181" s="28" t="str">
        <f aca="false">IF(OR(B181="",D181=0),"",AVERAGEIFS(上位10件データ!$G:$G,上位10件データ!$A:$A,$B181))</f>
        <v/>
      </c>
      <c r="F181" s="28" t="str">
        <f aca="false">IF(OR(B181="",D181=0),"",SUMIFS(上位10件データ!$G:$G,上位10件データ!$A:$A,$B181))</f>
        <v/>
      </c>
      <c r="G181" s="28" t="str">
        <f aca="false">IF(OR(B181="",D181=0),"",AVERAGEIFS(上位10件データ!$E:$E,上位10件データ!$A:$A,$B181))</f>
        <v/>
      </c>
      <c r="H181" s="19" t="str">
        <f aca="false">IF(OR(B181="",D181=0),"",COUNTIFS(上位10件データ!$A:$A,$B181,上位10件データ!$F:$F,"&gt;=1000"))</f>
        <v/>
      </c>
      <c r="I181" s="19" t="str">
        <f aca="false">IF(OR(B181="",D181=0),"",COUNTIFS(上位10件データ!$A:$A,$B181,上位10件データ!$F:$F,"&lt;100"))</f>
        <v/>
      </c>
      <c r="J181" s="19" t="str">
        <f aca="false">IF(E181="","",COUNTIF(L181:O181,"○")+IF(P181&gt;=0.5,1,0))</f>
        <v/>
      </c>
      <c r="K181" s="29" t="str">
        <f aca="false">IF(J181="","",IF(J181&gt;=設定!$B$19,"◎ 有力",IF(J181&gt;=設定!$B$20,"○ 候補",IF(J181&gt;=3,"△ 要検討","× 見送り"))))</f>
        <v/>
      </c>
      <c r="L181" s="19" t="str">
        <f aca="false">IF(E181="","",IF(E181&gt;=設定!$B$14,"○","×"))</f>
        <v/>
      </c>
      <c r="M181" s="19" t="str">
        <f aca="false">IF(H181="","",IF(H181&lt;=設定!$B$15,"○","×"))</f>
        <v/>
      </c>
      <c r="N181" s="19" t="str">
        <f aca="false">IF(I181="","",IF(I181&gt;=設定!$B$16,"○","×"))</f>
        <v/>
      </c>
      <c r="O181" s="19" t="str">
        <f aca="false">IF(G181="","",IF(AND(G181&gt;=設定!$B$17,G181&lt;=設定!$B$18),"○","×"))</f>
        <v/>
      </c>
      <c r="P181" s="30" t="str">
        <f aca="false">IF(OR(B181="",D181=0),"",COUNTIFS(上位10件データ!$A:$A,$B181,上位10件データ!$H:$H,"はい")/D181)</f>
        <v/>
      </c>
      <c r="Q181" s="22"/>
    </row>
    <row r="182" customFormat="false" ht="15" hidden="false" customHeight="true" outlineLevel="0" collapsed="false">
      <c r="A182" s="19" t="str">
        <f aca="false">IF(B182="","",ROW()-1)</f>
        <v/>
      </c>
      <c r="B182" s="22"/>
      <c r="C182" s="9"/>
      <c r="D182" s="19" t="str">
        <f aca="false">IF(B182="","",COUNTIFS(上位10件データ!$A:$A,$B182))</f>
        <v/>
      </c>
      <c r="E182" s="28" t="str">
        <f aca="false">IF(OR(B182="",D182=0),"",AVERAGEIFS(上位10件データ!$G:$G,上位10件データ!$A:$A,$B182))</f>
        <v/>
      </c>
      <c r="F182" s="28" t="str">
        <f aca="false">IF(OR(B182="",D182=0),"",SUMIFS(上位10件データ!$G:$G,上位10件データ!$A:$A,$B182))</f>
        <v/>
      </c>
      <c r="G182" s="28" t="str">
        <f aca="false">IF(OR(B182="",D182=0),"",AVERAGEIFS(上位10件データ!$E:$E,上位10件データ!$A:$A,$B182))</f>
        <v/>
      </c>
      <c r="H182" s="19" t="str">
        <f aca="false">IF(OR(B182="",D182=0),"",COUNTIFS(上位10件データ!$A:$A,$B182,上位10件データ!$F:$F,"&gt;=1000"))</f>
        <v/>
      </c>
      <c r="I182" s="19" t="str">
        <f aca="false">IF(OR(B182="",D182=0),"",COUNTIFS(上位10件データ!$A:$A,$B182,上位10件データ!$F:$F,"&lt;100"))</f>
        <v/>
      </c>
      <c r="J182" s="19" t="str">
        <f aca="false">IF(E182="","",COUNTIF(L182:O182,"○")+IF(P182&gt;=0.5,1,0))</f>
        <v/>
      </c>
      <c r="K182" s="29" t="str">
        <f aca="false">IF(J182="","",IF(J182&gt;=設定!$B$19,"◎ 有力",IF(J182&gt;=設定!$B$20,"○ 候補",IF(J182&gt;=3,"△ 要検討","× 見送り"))))</f>
        <v/>
      </c>
      <c r="L182" s="19" t="str">
        <f aca="false">IF(E182="","",IF(E182&gt;=設定!$B$14,"○","×"))</f>
        <v/>
      </c>
      <c r="M182" s="19" t="str">
        <f aca="false">IF(H182="","",IF(H182&lt;=設定!$B$15,"○","×"))</f>
        <v/>
      </c>
      <c r="N182" s="19" t="str">
        <f aca="false">IF(I182="","",IF(I182&gt;=設定!$B$16,"○","×"))</f>
        <v/>
      </c>
      <c r="O182" s="19" t="str">
        <f aca="false">IF(G182="","",IF(AND(G182&gt;=設定!$B$17,G182&lt;=設定!$B$18),"○","×"))</f>
        <v/>
      </c>
      <c r="P182" s="30" t="str">
        <f aca="false">IF(OR(B182="",D182=0),"",COUNTIFS(上位10件データ!$A:$A,$B182,上位10件データ!$H:$H,"はい")/D182)</f>
        <v/>
      </c>
      <c r="Q182" s="22"/>
    </row>
    <row r="183" customFormat="false" ht="15" hidden="false" customHeight="true" outlineLevel="0" collapsed="false">
      <c r="A183" s="19" t="str">
        <f aca="false">IF(B183="","",ROW()-1)</f>
        <v/>
      </c>
      <c r="B183" s="22"/>
      <c r="C183" s="9"/>
      <c r="D183" s="19" t="str">
        <f aca="false">IF(B183="","",COUNTIFS(上位10件データ!$A:$A,$B183))</f>
        <v/>
      </c>
      <c r="E183" s="28" t="str">
        <f aca="false">IF(OR(B183="",D183=0),"",AVERAGEIFS(上位10件データ!$G:$G,上位10件データ!$A:$A,$B183))</f>
        <v/>
      </c>
      <c r="F183" s="28" t="str">
        <f aca="false">IF(OR(B183="",D183=0),"",SUMIFS(上位10件データ!$G:$G,上位10件データ!$A:$A,$B183))</f>
        <v/>
      </c>
      <c r="G183" s="28" t="str">
        <f aca="false">IF(OR(B183="",D183=0),"",AVERAGEIFS(上位10件データ!$E:$E,上位10件データ!$A:$A,$B183))</f>
        <v/>
      </c>
      <c r="H183" s="19" t="str">
        <f aca="false">IF(OR(B183="",D183=0),"",COUNTIFS(上位10件データ!$A:$A,$B183,上位10件データ!$F:$F,"&gt;=1000"))</f>
        <v/>
      </c>
      <c r="I183" s="19" t="str">
        <f aca="false">IF(OR(B183="",D183=0),"",COUNTIFS(上位10件データ!$A:$A,$B183,上位10件データ!$F:$F,"&lt;100"))</f>
        <v/>
      </c>
      <c r="J183" s="19" t="str">
        <f aca="false">IF(E183="","",COUNTIF(L183:O183,"○")+IF(P183&gt;=0.5,1,0))</f>
        <v/>
      </c>
      <c r="K183" s="29" t="str">
        <f aca="false">IF(J183="","",IF(J183&gt;=設定!$B$19,"◎ 有力",IF(J183&gt;=設定!$B$20,"○ 候補",IF(J183&gt;=3,"△ 要検討","× 見送り"))))</f>
        <v/>
      </c>
      <c r="L183" s="19" t="str">
        <f aca="false">IF(E183="","",IF(E183&gt;=設定!$B$14,"○","×"))</f>
        <v/>
      </c>
      <c r="M183" s="19" t="str">
        <f aca="false">IF(H183="","",IF(H183&lt;=設定!$B$15,"○","×"))</f>
        <v/>
      </c>
      <c r="N183" s="19" t="str">
        <f aca="false">IF(I183="","",IF(I183&gt;=設定!$B$16,"○","×"))</f>
        <v/>
      </c>
      <c r="O183" s="19" t="str">
        <f aca="false">IF(G183="","",IF(AND(G183&gt;=設定!$B$17,G183&lt;=設定!$B$18),"○","×"))</f>
        <v/>
      </c>
      <c r="P183" s="30" t="str">
        <f aca="false">IF(OR(B183="",D183=0),"",COUNTIFS(上位10件データ!$A:$A,$B183,上位10件データ!$H:$H,"はい")/D183)</f>
        <v/>
      </c>
      <c r="Q183" s="22"/>
    </row>
    <row r="184" customFormat="false" ht="15" hidden="false" customHeight="true" outlineLevel="0" collapsed="false">
      <c r="A184" s="19" t="str">
        <f aca="false">IF(B184="","",ROW()-1)</f>
        <v/>
      </c>
      <c r="B184" s="22"/>
      <c r="C184" s="9"/>
      <c r="D184" s="19" t="str">
        <f aca="false">IF(B184="","",COUNTIFS(上位10件データ!$A:$A,$B184))</f>
        <v/>
      </c>
      <c r="E184" s="28" t="str">
        <f aca="false">IF(OR(B184="",D184=0),"",AVERAGEIFS(上位10件データ!$G:$G,上位10件データ!$A:$A,$B184))</f>
        <v/>
      </c>
      <c r="F184" s="28" t="str">
        <f aca="false">IF(OR(B184="",D184=0),"",SUMIFS(上位10件データ!$G:$G,上位10件データ!$A:$A,$B184))</f>
        <v/>
      </c>
      <c r="G184" s="28" t="str">
        <f aca="false">IF(OR(B184="",D184=0),"",AVERAGEIFS(上位10件データ!$E:$E,上位10件データ!$A:$A,$B184))</f>
        <v/>
      </c>
      <c r="H184" s="19" t="str">
        <f aca="false">IF(OR(B184="",D184=0),"",COUNTIFS(上位10件データ!$A:$A,$B184,上位10件データ!$F:$F,"&gt;=1000"))</f>
        <v/>
      </c>
      <c r="I184" s="19" t="str">
        <f aca="false">IF(OR(B184="",D184=0),"",COUNTIFS(上位10件データ!$A:$A,$B184,上位10件データ!$F:$F,"&lt;100"))</f>
        <v/>
      </c>
      <c r="J184" s="19" t="str">
        <f aca="false">IF(E184="","",COUNTIF(L184:O184,"○")+IF(P184&gt;=0.5,1,0))</f>
        <v/>
      </c>
      <c r="K184" s="29" t="str">
        <f aca="false">IF(J184="","",IF(J184&gt;=設定!$B$19,"◎ 有力",IF(J184&gt;=設定!$B$20,"○ 候補",IF(J184&gt;=3,"△ 要検討","× 見送り"))))</f>
        <v/>
      </c>
      <c r="L184" s="19" t="str">
        <f aca="false">IF(E184="","",IF(E184&gt;=設定!$B$14,"○","×"))</f>
        <v/>
      </c>
      <c r="M184" s="19" t="str">
        <f aca="false">IF(H184="","",IF(H184&lt;=設定!$B$15,"○","×"))</f>
        <v/>
      </c>
      <c r="N184" s="19" t="str">
        <f aca="false">IF(I184="","",IF(I184&gt;=設定!$B$16,"○","×"))</f>
        <v/>
      </c>
      <c r="O184" s="19" t="str">
        <f aca="false">IF(G184="","",IF(AND(G184&gt;=設定!$B$17,G184&lt;=設定!$B$18),"○","×"))</f>
        <v/>
      </c>
      <c r="P184" s="30" t="str">
        <f aca="false">IF(OR(B184="",D184=0),"",COUNTIFS(上位10件データ!$A:$A,$B184,上位10件データ!$H:$H,"はい")/D184)</f>
        <v/>
      </c>
      <c r="Q184" s="22"/>
    </row>
    <row r="185" customFormat="false" ht="15" hidden="false" customHeight="true" outlineLevel="0" collapsed="false">
      <c r="A185" s="19" t="str">
        <f aca="false">IF(B185="","",ROW()-1)</f>
        <v/>
      </c>
      <c r="B185" s="22"/>
      <c r="C185" s="9"/>
      <c r="D185" s="19" t="str">
        <f aca="false">IF(B185="","",COUNTIFS(上位10件データ!$A:$A,$B185))</f>
        <v/>
      </c>
      <c r="E185" s="28" t="str">
        <f aca="false">IF(OR(B185="",D185=0),"",AVERAGEIFS(上位10件データ!$G:$G,上位10件データ!$A:$A,$B185))</f>
        <v/>
      </c>
      <c r="F185" s="28" t="str">
        <f aca="false">IF(OR(B185="",D185=0),"",SUMIFS(上位10件データ!$G:$G,上位10件データ!$A:$A,$B185))</f>
        <v/>
      </c>
      <c r="G185" s="28" t="str">
        <f aca="false">IF(OR(B185="",D185=0),"",AVERAGEIFS(上位10件データ!$E:$E,上位10件データ!$A:$A,$B185))</f>
        <v/>
      </c>
      <c r="H185" s="19" t="str">
        <f aca="false">IF(OR(B185="",D185=0),"",COUNTIFS(上位10件データ!$A:$A,$B185,上位10件データ!$F:$F,"&gt;=1000"))</f>
        <v/>
      </c>
      <c r="I185" s="19" t="str">
        <f aca="false">IF(OR(B185="",D185=0),"",COUNTIFS(上位10件データ!$A:$A,$B185,上位10件データ!$F:$F,"&lt;100"))</f>
        <v/>
      </c>
      <c r="J185" s="19" t="str">
        <f aca="false">IF(E185="","",COUNTIF(L185:O185,"○")+IF(P185&gt;=0.5,1,0))</f>
        <v/>
      </c>
      <c r="K185" s="29" t="str">
        <f aca="false">IF(J185="","",IF(J185&gt;=設定!$B$19,"◎ 有力",IF(J185&gt;=設定!$B$20,"○ 候補",IF(J185&gt;=3,"△ 要検討","× 見送り"))))</f>
        <v/>
      </c>
      <c r="L185" s="19" t="str">
        <f aca="false">IF(E185="","",IF(E185&gt;=設定!$B$14,"○","×"))</f>
        <v/>
      </c>
      <c r="M185" s="19" t="str">
        <f aca="false">IF(H185="","",IF(H185&lt;=設定!$B$15,"○","×"))</f>
        <v/>
      </c>
      <c r="N185" s="19" t="str">
        <f aca="false">IF(I185="","",IF(I185&gt;=設定!$B$16,"○","×"))</f>
        <v/>
      </c>
      <c r="O185" s="19" t="str">
        <f aca="false">IF(G185="","",IF(AND(G185&gt;=設定!$B$17,G185&lt;=設定!$B$18),"○","×"))</f>
        <v/>
      </c>
      <c r="P185" s="30" t="str">
        <f aca="false">IF(OR(B185="",D185=0),"",COUNTIFS(上位10件データ!$A:$A,$B185,上位10件データ!$H:$H,"はい")/D185)</f>
        <v/>
      </c>
      <c r="Q185" s="22"/>
    </row>
    <row r="186" customFormat="false" ht="15" hidden="false" customHeight="true" outlineLevel="0" collapsed="false">
      <c r="A186" s="19" t="str">
        <f aca="false">IF(B186="","",ROW()-1)</f>
        <v/>
      </c>
      <c r="B186" s="22"/>
      <c r="C186" s="9"/>
      <c r="D186" s="19" t="str">
        <f aca="false">IF(B186="","",COUNTIFS(上位10件データ!$A:$A,$B186))</f>
        <v/>
      </c>
      <c r="E186" s="28" t="str">
        <f aca="false">IF(OR(B186="",D186=0),"",AVERAGEIFS(上位10件データ!$G:$G,上位10件データ!$A:$A,$B186))</f>
        <v/>
      </c>
      <c r="F186" s="28" t="str">
        <f aca="false">IF(OR(B186="",D186=0),"",SUMIFS(上位10件データ!$G:$G,上位10件データ!$A:$A,$B186))</f>
        <v/>
      </c>
      <c r="G186" s="28" t="str">
        <f aca="false">IF(OR(B186="",D186=0),"",AVERAGEIFS(上位10件データ!$E:$E,上位10件データ!$A:$A,$B186))</f>
        <v/>
      </c>
      <c r="H186" s="19" t="str">
        <f aca="false">IF(OR(B186="",D186=0),"",COUNTIFS(上位10件データ!$A:$A,$B186,上位10件データ!$F:$F,"&gt;=1000"))</f>
        <v/>
      </c>
      <c r="I186" s="19" t="str">
        <f aca="false">IF(OR(B186="",D186=0),"",COUNTIFS(上位10件データ!$A:$A,$B186,上位10件データ!$F:$F,"&lt;100"))</f>
        <v/>
      </c>
      <c r="J186" s="19" t="str">
        <f aca="false">IF(E186="","",COUNTIF(L186:O186,"○")+IF(P186&gt;=0.5,1,0))</f>
        <v/>
      </c>
      <c r="K186" s="29" t="str">
        <f aca="false">IF(J186="","",IF(J186&gt;=設定!$B$19,"◎ 有力",IF(J186&gt;=設定!$B$20,"○ 候補",IF(J186&gt;=3,"△ 要検討","× 見送り"))))</f>
        <v/>
      </c>
      <c r="L186" s="19" t="str">
        <f aca="false">IF(E186="","",IF(E186&gt;=設定!$B$14,"○","×"))</f>
        <v/>
      </c>
      <c r="M186" s="19" t="str">
        <f aca="false">IF(H186="","",IF(H186&lt;=設定!$B$15,"○","×"))</f>
        <v/>
      </c>
      <c r="N186" s="19" t="str">
        <f aca="false">IF(I186="","",IF(I186&gt;=設定!$B$16,"○","×"))</f>
        <v/>
      </c>
      <c r="O186" s="19" t="str">
        <f aca="false">IF(G186="","",IF(AND(G186&gt;=設定!$B$17,G186&lt;=設定!$B$18),"○","×"))</f>
        <v/>
      </c>
      <c r="P186" s="30" t="str">
        <f aca="false">IF(OR(B186="",D186=0),"",COUNTIFS(上位10件データ!$A:$A,$B186,上位10件データ!$H:$H,"はい")/D186)</f>
        <v/>
      </c>
      <c r="Q186" s="22"/>
    </row>
    <row r="187" customFormat="false" ht="15" hidden="false" customHeight="true" outlineLevel="0" collapsed="false">
      <c r="A187" s="19" t="str">
        <f aca="false">IF(B187="","",ROW()-1)</f>
        <v/>
      </c>
      <c r="B187" s="22"/>
      <c r="C187" s="9"/>
      <c r="D187" s="19" t="str">
        <f aca="false">IF(B187="","",COUNTIFS(上位10件データ!$A:$A,$B187))</f>
        <v/>
      </c>
      <c r="E187" s="28" t="str">
        <f aca="false">IF(OR(B187="",D187=0),"",AVERAGEIFS(上位10件データ!$G:$G,上位10件データ!$A:$A,$B187))</f>
        <v/>
      </c>
      <c r="F187" s="28" t="str">
        <f aca="false">IF(OR(B187="",D187=0),"",SUMIFS(上位10件データ!$G:$G,上位10件データ!$A:$A,$B187))</f>
        <v/>
      </c>
      <c r="G187" s="28" t="str">
        <f aca="false">IF(OR(B187="",D187=0),"",AVERAGEIFS(上位10件データ!$E:$E,上位10件データ!$A:$A,$B187))</f>
        <v/>
      </c>
      <c r="H187" s="19" t="str">
        <f aca="false">IF(OR(B187="",D187=0),"",COUNTIFS(上位10件データ!$A:$A,$B187,上位10件データ!$F:$F,"&gt;=1000"))</f>
        <v/>
      </c>
      <c r="I187" s="19" t="str">
        <f aca="false">IF(OR(B187="",D187=0),"",COUNTIFS(上位10件データ!$A:$A,$B187,上位10件データ!$F:$F,"&lt;100"))</f>
        <v/>
      </c>
      <c r="J187" s="19" t="str">
        <f aca="false">IF(E187="","",COUNTIF(L187:O187,"○")+IF(P187&gt;=0.5,1,0))</f>
        <v/>
      </c>
      <c r="K187" s="29" t="str">
        <f aca="false">IF(J187="","",IF(J187&gt;=設定!$B$19,"◎ 有力",IF(J187&gt;=設定!$B$20,"○ 候補",IF(J187&gt;=3,"△ 要検討","× 見送り"))))</f>
        <v/>
      </c>
      <c r="L187" s="19" t="str">
        <f aca="false">IF(E187="","",IF(E187&gt;=設定!$B$14,"○","×"))</f>
        <v/>
      </c>
      <c r="M187" s="19" t="str">
        <f aca="false">IF(H187="","",IF(H187&lt;=設定!$B$15,"○","×"))</f>
        <v/>
      </c>
      <c r="N187" s="19" t="str">
        <f aca="false">IF(I187="","",IF(I187&gt;=設定!$B$16,"○","×"))</f>
        <v/>
      </c>
      <c r="O187" s="19" t="str">
        <f aca="false">IF(G187="","",IF(AND(G187&gt;=設定!$B$17,G187&lt;=設定!$B$18),"○","×"))</f>
        <v/>
      </c>
      <c r="P187" s="30" t="str">
        <f aca="false">IF(OR(B187="",D187=0),"",COUNTIFS(上位10件データ!$A:$A,$B187,上位10件データ!$H:$H,"はい")/D187)</f>
        <v/>
      </c>
      <c r="Q187" s="22"/>
    </row>
    <row r="188" customFormat="false" ht="15" hidden="false" customHeight="true" outlineLevel="0" collapsed="false">
      <c r="A188" s="19" t="str">
        <f aca="false">IF(B188="","",ROW()-1)</f>
        <v/>
      </c>
      <c r="B188" s="22"/>
      <c r="C188" s="9"/>
      <c r="D188" s="19" t="str">
        <f aca="false">IF(B188="","",COUNTIFS(上位10件データ!$A:$A,$B188))</f>
        <v/>
      </c>
      <c r="E188" s="28" t="str">
        <f aca="false">IF(OR(B188="",D188=0),"",AVERAGEIFS(上位10件データ!$G:$G,上位10件データ!$A:$A,$B188))</f>
        <v/>
      </c>
      <c r="F188" s="28" t="str">
        <f aca="false">IF(OR(B188="",D188=0),"",SUMIFS(上位10件データ!$G:$G,上位10件データ!$A:$A,$B188))</f>
        <v/>
      </c>
      <c r="G188" s="28" t="str">
        <f aca="false">IF(OR(B188="",D188=0),"",AVERAGEIFS(上位10件データ!$E:$E,上位10件データ!$A:$A,$B188))</f>
        <v/>
      </c>
      <c r="H188" s="19" t="str">
        <f aca="false">IF(OR(B188="",D188=0),"",COUNTIFS(上位10件データ!$A:$A,$B188,上位10件データ!$F:$F,"&gt;=1000"))</f>
        <v/>
      </c>
      <c r="I188" s="19" t="str">
        <f aca="false">IF(OR(B188="",D188=0),"",COUNTIFS(上位10件データ!$A:$A,$B188,上位10件データ!$F:$F,"&lt;100"))</f>
        <v/>
      </c>
      <c r="J188" s="19" t="str">
        <f aca="false">IF(E188="","",COUNTIF(L188:O188,"○")+IF(P188&gt;=0.5,1,0))</f>
        <v/>
      </c>
      <c r="K188" s="29" t="str">
        <f aca="false">IF(J188="","",IF(J188&gt;=設定!$B$19,"◎ 有力",IF(J188&gt;=設定!$B$20,"○ 候補",IF(J188&gt;=3,"△ 要検討","× 見送り"))))</f>
        <v/>
      </c>
      <c r="L188" s="19" t="str">
        <f aca="false">IF(E188="","",IF(E188&gt;=設定!$B$14,"○","×"))</f>
        <v/>
      </c>
      <c r="M188" s="19" t="str">
        <f aca="false">IF(H188="","",IF(H188&lt;=設定!$B$15,"○","×"))</f>
        <v/>
      </c>
      <c r="N188" s="19" t="str">
        <f aca="false">IF(I188="","",IF(I188&gt;=設定!$B$16,"○","×"))</f>
        <v/>
      </c>
      <c r="O188" s="19" t="str">
        <f aca="false">IF(G188="","",IF(AND(G188&gt;=設定!$B$17,G188&lt;=設定!$B$18),"○","×"))</f>
        <v/>
      </c>
      <c r="P188" s="30" t="str">
        <f aca="false">IF(OR(B188="",D188=0),"",COUNTIFS(上位10件データ!$A:$A,$B188,上位10件データ!$H:$H,"はい")/D188)</f>
        <v/>
      </c>
      <c r="Q188" s="22"/>
    </row>
    <row r="189" customFormat="false" ht="15" hidden="false" customHeight="true" outlineLevel="0" collapsed="false">
      <c r="A189" s="19" t="str">
        <f aca="false">IF(B189="","",ROW()-1)</f>
        <v/>
      </c>
      <c r="B189" s="22"/>
      <c r="C189" s="9"/>
      <c r="D189" s="19" t="str">
        <f aca="false">IF(B189="","",COUNTIFS(上位10件データ!$A:$A,$B189))</f>
        <v/>
      </c>
      <c r="E189" s="28" t="str">
        <f aca="false">IF(OR(B189="",D189=0),"",AVERAGEIFS(上位10件データ!$G:$G,上位10件データ!$A:$A,$B189))</f>
        <v/>
      </c>
      <c r="F189" s="28" t="str">
        <f aca="false">IF(OR(B189="",D189=0),"",SUMIFS(上位10件データ!$G:$G,上位10件データ!$A:$A,$B189))</f>
        <v/>
      </c>
      <c r="G189" s="28" t="str">
        <f aca="false">IF(OR(B189="",D189=0),"",AVERAGEIFS(上位10件データ!$E:$E,上位10件データ!$A:$A,$B189))</f>
        <v/>
      </c>
      <c r="H189" s="19" t="str">
        <f aca="false">IF(OR(B189="",D189=0),"",COUNTIFS(上位10件データ!$A:$A,$B189,上位10件データ!$F:$F,"&gt;=1000"))</f>
        <v/>
      </c>
      <c r="I189" s="19" t="str">
        <f aca="false">IF(OR(B189="",D189=0),"",COUNTIFS(上位10件データ!$A:$A,$B189,上位10件データ!$F:$F,"&lt;100"))</f>
        <v/>
      </c>
      <c r="J189" s="19" t="str">
        <f aca="false">IF(E189="","",COUNTIF(L189:O189,"○")+IF(P189&gt;=0.5,1,0))</f>
        <v/>
      </c>
      <c r="K189" s="29" t="str">
        <f aca="false">IF(J189="","",IF(J189&gt;=設定!$B$19,"◎ 有力",IF(J189&gt;=設定!$B$20,"○ 候補",IF(J189&gt;=3,"△ 要検討","× 見送り"))))</f>
        <v/>
      </c>
      <c r="L189" s="19" t="str">
        <f aca="false">IF(E189="","",IF(E189&gt;=設定!$B$14,"○","×"))</f>
        <v/>
      </c>
      <c r="M189" s="19" t="str">
        <f aca="false">IF(H189="","",IF(H189&lt;=設定!$B$15,"○","×"))</f>
        <v/>
      </c>
      <c r="N189" s="19" t="str">
        <f aca="false">IF(I189="","",IF(I189&gt;=設定!$B$16,"○","×"))</f>
        <v/>
      </c>
      <c r="O189" s="19" t="str">
        <f aca="false">IF(G189="","",IF(AND(G189&gt;=設定!$B$17,G189&lt;=設定!$B$18),"○","×"))</f>
        <v/>
      </c>
      <c r="P189" s="30" t="str">
        <f aca="false">IF(OR(B189="",D189=0),"",COUNTIFS(上位10件データ!$A:$A,$B189,上位10件データ!$H:$H,"はい")/D189)</f>
        <v/>
      </c>
      <c r="Q189" s="22"/>
    </row>
    <row r="190" customFormat="false" ht="15" hidden="false" customHeight="true" outlineLevel="0" collapsed="false">
      <c r="A190" s="19" t="str">
        <f aca="false">IF(B190="","",ROW()-1)</f>
        <v/>
      </c>
      <c r="B190" s="22"/>
      <c r="C190" s="9"/>
      <c r="D190" s="19" t="str">
        <f aca="false">IF(B190="","",COUNTIFS(上位10件データ!$A:$A,$B190))</f>
        <v/>
      </c>
      <c r="E190" s="28" t="str">
        <f aca="false">IF(OR(B190="",D190=0),"",AVERAGEIFS(上位10件データ!$G:$G,上位10件データ!$A:$A,$B190))</f>
        <v/>
      </c>
      <c r="F190" s="28" t="str">
        <f aca="false">IF(OR(B190="",D190=0),"",SUMIFS(上位10件データ!$G:$G,上位10件データ!$A:$A,$B190))</f>
        <v/>
      </c>
      <c r="G190" s="28" t="str">
        <f aca="false">IF(OR(B190="",D190=0),"",AVERAGEIFS(上位10件データ!$E:$E,上位10件データ!$A:$A,$B190))</f>
        <v/>
      </c>
      <c r="H190" s="19" t="str">
        <f aca="false">IF(OR(B190="",D190=0),"",COUNTIFS(上位10件データ!$A:$A,$B190,上位10件データ!$F:$F,"&gt;=1000"))</f>
        <v/>
      </c>
      <c r="I190" s="19" t="str">
        <f aca="false">IF(OR(B190="",D190=0),"",COUNTIFS(上位10件データ!$A:$A,$B190,上位10件データ!$F:$F,"&lt;100"))</f>
        <v/>
      </c>
      <c r="J190" s="19" t="str">
        <f aca="false">IF(E190="","",COUNTIF(L190:O190,"○")+IF(P190&gt;=0.5,1,0))</f>
        <v/>
      </c>
      <c r="K190" s="29" t="str">
        <f aca="false">IF(J190="","",IF(J190&gt;=設定!$B$19,"◎ 有力",IF(J190&gt;=設定!$B$20,"○ 候補",IF(J190&gt;=3,"△ 要検討","× 見送り"))))</f>
        <v/>
      </c>
      <c r="L190" s="19" t="str">
        <f aca="false">IF(E190="","",IF(E190&gt;=設定!$B$14,"○","×"))</f>
        <v/>
      </c>
      <c r="M190" s="19" t="str">
        <f aca="false">IF(H190="","",IF(H190&lt;=設定!$B$15,"○","×"))</f>
        <v/>
      </c>
      <c r="N190" s="19" t="str">
        <f aca="false">IF(I190="","",IF(I190&gt;=設定!$B$16,"○","×"))</f>
        <v/>
      </c>
      <c r="O190" s="19" t="str">
        <f aca="false">IF(G190="","",IF(AND(G190&gt;=設定!$B$17,G190&lt;=設定!$B$18),"○","×"))</f>
        <v/>
      </c>
      <c r="P190" s="30" t="str">
        <f aca="false">IF(OR(B190="",D190=0),"",COUNTIFS(上位10件データ!$A:$A,$B190,上位10件データ!$H:$H,"はい")/D190)</f>
        <v/>
      </c>
      <c r="Q190" s="22"/>
    </row>
    <row r="191" customFormat="false" ht="15" hidden="false" customHeight="true" outlineLevel="0" collapsed="false">
      <c r="A191" s="19" t="str">
        <f aca="false">IF(B191="","",ROW()-1)</f>
        <v/>
      </c>
      <c r="B191" s="22"/>
      <c r="C191" s="9"/>
      <c r="D191" s="19" t="str">
        <f aca="false">IF(B191="","",COUNTIFS(上位10件データ!$A:$A,$B191))</f>
        <v/>
      </c>
      <c r="E191" s="28" t="str">
        <f aca="false">IF(OR(B191="",D191=0),"",AVERAGEIFS(上位10件データ!$G:$G,上位10件データ!$A:$A,$B191))</f>
        <v/>
      </c>
      <c r="F191" s="28" t="str">
        <f aca="false">IF(OR(B191="",D191=0),"",SUMIFS(上位10件データ!$G:$G,上位10件データ!$A:$A,$B191))</f>
        <v/>
      </c>
      <c r="G191" s="28" t="str">
        <f aca="false">IF(OR(B191="",D191=0),"",AVERAGEIFS(上位10件データ!$E:$E,上位10件データ!$A:$A,$B191))</f>
        <v/>
      </c>
      <c r="H191" s="19" t="str">
        <f aca="false">IF(OR(B191="",D191=0),"",COUNTIFS(上位10件データ!$A:$A,$B191,上位10件データ!$F:$F,"&gt;=1000"))</f>
        <v/>
      </c>
      <c r="I191" s="19" t="str">
        <f aca="false">IF(OR(B191="",D191=0),"",COUNTIFS(上位10件データ!$A:$A,$B191,上位10件データ!$F:$F,"&lt;100"))</f>
        <v/>
      </c>
      <c r="J191" s="19" t="str">
        <f aca="false">IF(E191="","",COUNTIF(L191:O191,"○")+IF(P191&gt;=0.5,1,0))</f>
        <v/>
      </c>
      <c r="K191" s="29" t="str">
        <f aca="false">IF(J191="","",IF(J191&gt;=設定!$B$19,"◎ 有力",IF(J191&gt;=設定!$B$20,"○ 候補",IF(J191&gt;=3,"△ 要検討","× 見送り"))))</f>
        <v/>
      </c>
      <c r="L191" s="19" t="str">
        <f aca="false">IF(E191="","",IF(E191&gt;=設定!$B$14,"○","×"))</f>
        <v/>
      </c>
      <c r="M191" s="19" t="str">
        <f aca="false">IF(H191="","",IF(H191&lt;=設定!$B$15,"○","×"))</f>
        <v/>
      </c>
      <c r="N191" s="19" t="str">
        <f aca="false">IF(I191="","",IF(I191&gt;=設定!$B$16,"○","×"))</f>
        <v/>
      </c>
      <c r="O191" s="19" t="str">
        <f aca="false">IF(G191="","",IF(AND(G191&gt;=設定!$B$17,G191&lt;=設定!$B$18),"○","×"))</f>
        <v/>
      </c>
      <c r="P191" s="30" t="str">
        <f aca="false">IF(OR(B191="",D191=0),"",COUNTIFS(上位10件データ!$A:$A,$B191,上位10件データ!$H:$H,"はい")/D191)</f>
        <v/>
      </c>
      <c r="Q191" s="22"/>
    </row>
    <row r="192" customFormat="false" ht="15" hidden="false" customHeight="true" outlineLevel="0" collapsed="false">
      <c r="A192" s="19" t="str">
        <f aca="false">IF(B192="","",ROW()-1)</f>
        <v/>
      </c>
      <c r="B192" s="22"/>
      <c r="C192" s="9"/>
      <c r="D192" s="19" t="str">
        <f aca="false">IF(B192="","",COUNTIFS(上位10件データ!$A:$A,$B192))</f>
        <v/>
      </c>
      <c r="E192" s="28" t="str">
        <f aca="false">IF(OR(B192="",D192=0),"",AVERAGEIFS(上位10件データ!$G:$G,上位10件データ!$A:$A,$B192))</f>
        <v/>
      </c>
      <c r="F192" s="28" t="str">
        <f aca="false">IF(OR(B192="",D192=0),"",SUMIFS(上位10件データ!$G:$G,上位10件データ!$A:$A,$B192))</f>
        <v/>
      </c>
      <c r="G192" s="28" t="str">
        <f aca="false">IF(OR(B192="",D192=0),"",AVERAGEIFS(上位10件データ!$E:$E,上位10件データ!$A:$A,$B192))</f>
        <v/>
      </c>
      <c r="H192" s="19" t="str">
        <f aca="false">IF(OR(B192="",D192=0),"",COUNTIFS(上位10件データ!$A:$A,$B192,上位10件データ!$F:$F,"&gt;=1000"))</f>
        <v/>
      </c>
      <c r="I192" s="19" t="str">
        <f aca="false">IF(OR(B192="",D192=0),"",COUNTIFS(上位10件データ!$A:$A,$B192,上位10件データ!$F:$F,"&lt;100"))</f>
        <v/>
      </c>
      <c r="J192" s="19" t="str">
        <f aca="false">IF(E192="","",COUNTIF(L192:O192,"○")+IF(P192&gt;=0.5,1,0))</f>
        <v/>
      </c>
      <c r="K192" s="29" t="str">
        <f aca="false">IF(J192="","",IF(J192&gt;=設定!$B$19,"◎ 有力",IF(J192&gt;=設定!$B$20,"○ 候補",IF(J192&gt;=3,"△ 要検討","× 見送り"))))</f>
        <v/>
      </c>
      <c r="L192" s="19" t="str">
        <f aca="false">IF(E192="","",IF(E192&gt;=設定!$B$14,"○","×"))</f>
        <v/>
      </c>
      <c r="M192" s="19" t="str">
        <f aca="false">IF(H192="","",IF(H192&lt;=設定!$B$15,"○","×"))</f>
        <v/>
      </c>
      <c r="N192" s="19" t="str">
        <f aca="false">IF(I192="","",IF(I192&gt;=設定!$B$16,"○","×"))</f>
        <v/>
      </c>
      <c r="O192" s="19" t="str">
        <f aca="false">IF(G192="","",IF(AND(G192&gt;=設定!$B$17,G192&lt;=設定!$B$18),"○","×"))</f>
        <v/>
      </c>
      <c r="P192" s="30" t="str">
        <f aca="false">IF(OR(B192="",D192=0),"",COUNTIFS(上位10件データ!$A:$A,$B192,上位10件データ!$H:$H,"はい")/D192)</f>
        <v/>
      </c>
      <c r="Q192" s="22"/>
    </row>
    <row r="193" customFormat="false" ht="15" hidden="false" customHeight="true" outlineLevel="0" collapsed="false">
      <c r="A193" s="19" t="str">
        <f aca="false">IF(B193="","",ROW()-1)</f>
        <v/>
      </c>
      <c r="B193" s="22"/>
      <c r="C193" s="9"/>
      <c r="D193" s="19" t="str">
        <f aca="false">IF(B193="","",COUNTIFS(上位10件データ!$A:$A,$B193))</f>
        <v/>
      </c>
      <c r="E193" s="28" t="str">
        <f aca="false">IF(OR(B193="",D193=0),"",AVERAGEIFS(上位10件データ!$G:$G,上位10件データ!$A:$A,$B193))</f>
        <v/>
      </c>
      <c r="F193" s="28" t="str">
        <f aca="false">IF(OR(B193="",D193=0),"",SUMIFS(上位10件データ!$G:$G,上位10件データ!$A:$A,$B193))</f>
        <v/>
      </c>
      <c r="G193" s="28" t="str">
        <f aca="false">IF(OR(B193="",D193=0),"",AVERAGEIFS(上位10件データ!$E:$E,上位10件データ!$A:$A,$B193))</f>
        <v/>
      </c>
      <c r="H193" s="19" t="str">
        <f aca="false">IF(OR(B193="",D193=0),"",COUNTIFS(上位10件データ!$A:$A,$B193,上位10件データ!$F:$F,"&gt;=1000"))</f>
        <v/>
      </c>
      <c r="I193" s="19" t="str">
        <f aca="false">IF(OR(B193="",D193=0),"",COUNTIFS(上位10件データ!$A:$A,$B193,上位10件データ!$F:$F,"&lt;100"))</f>
        <v/>
      </c>
      <c r="J193" s="19" t="str">
        <f aca="false">IF(E193="","",COUNTIF(L193:O193,"○")+IF(P193&gt;=0.5,1,0))</f>
        <v/>
      </c>
      <c r="K193" s="29" t="str">
        <f aca="false">IF(J193="","",IF(J193&gt;=設定!$B$19,"◎ 有力",IF(J193&gt;=設定!$B$20,"○ 候補",IF(J193&gt;=3,"△ 要検討","× 見送り"))))</f>
        <v/>
      </c>
      <c r="L193" s="19" t="str">
        <f aca="false">IF(E193="","",IF(E193&gt;=設定!$B$14,"○","×"))</f>
        <v/>
      </c>
      <c r="M193" s="19" t="str">
        <f aca="false">IF(H193="","",IF(H193&lt;=設定!$B$15,"○","×"))</f>
        <v/>
      </c>
      <c r="N193" s="19" t="str">
        <f aca="false">IF(I193="","",IF(I193&gt;=設定!$B$16,"○","×"))</f>
        <v/>
      </c>
      <c r="O193" s="19" t="str">
        <f aca="false">IF(G193="","",IF(AND(G193&gt;=設定!$B$17,G193&lt;=設定!$B$18),"○","×"))</f>
        <v/>
      </c>
      <c r="P193" s="30" t="str">
        <f aca="false">IF(OR(B193="",D193=0),"",COUNTIFS(上位10件データ!$A:$A,$B193,上位10件データ!$H:$H,"はい")/D193)</f>
        <v/>
      </c>
      <c r="Q193" s="22"/>
    </row>
    <row r="194" customFormat="false" ht="15" hidden="false" customHeight="true" outlineLevel="0" collapsed="false">
      <c r="A194" s="19" t="str">
        <f aca="false">IF(B194="","",ROW()-1)</f>
        <v/>
      </c>
      <c r="B194" s="22"/>
      <c r="C194" s="9"/>
      <c r="D194" s="19" t="str">
        <f aca="false">IF(B194="","",COUNTIFS(上位10件データ!$A:$A,$B194))</f>
        <v/>
      </c>
      <c r="E194" s="28" t="str">
        <f aca="false">IF(OR(B194="",D194=0),"",AVERAGEIFS(上位10件データ!$G:$G,上位10件データ!$A:$A,$B194))</f>
        <v/>
      </c>
      <c r="F194" s="28" t="str">
        <f aca="false">IF(OR(B194="",D194=0),"",SUMIFS(上位10件データ!$G:$G,上位10件データ!$A:$A,$B194))</f>
        <v/>
      </c>
      <c r="G194" s="28" t="str">
        <f aca="false">IF(OR(B194="",D194=0),"",AVERAGEIFS(上位10件データ!$E:$E,上位10件データ!$A:$A,$B194))</f>
        <v/>
      </c>
      <c r="H194" s="19" t="str">
        <f aca="false">IF(OR(B194="",D194=0),"",COUNTIFS(上位10件データ!$A:$A,$B194,上位10件データ!$F:$F,"&gt;=1000"))</f>
        <v/>
      </c>
      <c r="I194" s="19" t="str">
        <f aca="false">IF(OR(B194="",D194=0),"",COUNTIFS(上位10件データ!$A:$A,$B194,上位10件データ!$F:$F,"&lt;100"))</f>
        <v/>
      </c>
      <c r="J194" s="19" t="str">
        <f aca="false">IF(E194="","",COUNTIF(L194:O194,"○")+IF(P194&gt;=0.5,1,0))</f>
        <v/>
      </c>
      <c r="K194" s="29" t="str">
        <f aca="false">IF(J194="","",IF(J194&gt;=設定!$B$19,"◎ 有力",IF(J194&gt;=設定!$B$20,"○ 候補",IF(J194&gt;=3,"△ 要検討","× 見送り"))))</f>
        <v/>
      </c>
      <c r="L194" s="19" t="str">
        <f aca="false">IF(E194="","",IF(E194&gt;=設定!$B$14,"○","×"))</f>
        <v/>
      </c>
      <c r="M194" s="19" t="str">
        <f aca="false">IF(H194="","",IF(H194&lt;=設定!$B$15,"○","×"))</f>
        <v/>
      </c>
      <c r="N194" s="19" t="str">
        <f aca="false">IF(I194="","",IF(I194&gt;=設定!$B$16,"○","×"))</f>
        <v/>
      </c>
      <c r="O194" s="19" t="str">
        <f aca="false">IF(G194="","",IF(AND(G194&gt;=設定!$B$17,G194&lt;=設定!$B$18),"○","×"))</f>
        <v/>
      </c>
      <c r="P194" s="30" t="str">
        <f aca="false">IF(OR(B194="",D194=0),"",COUNTIFS(上位10件データ!$A:$A,$B194,上位10件データ!$H:$H,"はい")/D194)</f>
        <v/>
      </c>
      <c r="Q194" s="22"/>
    </row>
    <row r="195" customFormat="false" ht="15" hidden="false" customHeight="true" outlineLevel="0" collapsed="false">
      <c r="A195" s="19" t="str">
        <f aca="false">IF(B195="","",ROW()-1)</f>
        <v/>
      </c>
      <c r="B195" s="22"/>
      <c r="C195" s="9"/>
      <c r="D195" s="19" t="str">
        <f aca="false">IF(B195="","",COUNTIFS(上位10件データ!$A:$A,$B195))</f>
        <v/>
      </c>
      <c r="E195" s="28" t="str">
        <f aca="false">IF(OR(B195="",D195=0),"",AVERAGEIFS(上位10件データ!$G:$G,上位10件データ!$A:$A,$B195))</f>
        <v/>
      </c>
      <c r="F195" s="28" t="str">
        <f aca="false">IF(OR(B195="",D195=0),"",SUMIFS(上位10件データ!$G:$G,上位10件データ!$A:$A,$B195))</f>
        <v/>
      </c>
      <c r="G195" s="28" t="str">
        <f aca="false">IF(OR(B195="",D195=0),"",AVERAGEIFS(上位10件データ!$E:$E,上位10件データ!$A:$A,$B195))</f>
        <v/>
      </c>
      <c r="H195" s="19" t="str">
        <f aca="false">IF(OR(B195="",D195=0),"",COUNTIFS(上位10件データ!$A:$A,$B195,上位10件データ!$F:$F,"&gt;=1000"))</f>
        <v/>
      </c>
      <c r="I195" s="19" t="str">
        <f aca="false">IF(OR(B195="",D195=0),"",COUNTIFS(上位10件データ!$A:$A,$B195,上位10件データ!$F:$F,"&lt;100"))</f>
        <v/>
      </c>
      <c r="J195" s="19" t="str">
        <f aca="false">IF(E195="","",COUNTIF(L195:O195,"○")+IF(P195&gt;=0.5,1,0))</f>
        <v/>
      </c>
      <c r="K195" s="29" t="str">
        <f aca="false">IF(J195="","",IF(J195&gt;=設定!$B$19,"◎ 有力",IF(J195&gt;=設定!$B$20,"○ 候補",IF(J195&gt;=3,"△ 要検討","× 見送り"))))</f>
        <v/>
      </c>
      <c r="L195" s="19" t="str">
        <f aca="false">IF(E195="","",IF(E195&gt;=設定!$B$14,"○","×"))</f>
        <v/>
      </c>
      <c r="M195" s="19" t="str">
        <f aca="false">IF(H195="","",IF(H195&lt;=設定!$B$15,"○","×"))</f>
        <v/>
      </c>
      <c r="N195" s="19" t="str">
        <f aca="false">IF(I195="","",IF(I195&gt;=設定!$B$16,"○","×"))</f>
        <v/>
      </c>
      <c r="O195" s="19" t="str">
        <f aca="false">IF(G195="","",IF(AND(G195&gt;=設定!$B$17,G195&lt;=設定!$B$18),"○","×"))</f>
        <v/>
      </c>
      <c r="P195" s="30" t="str">
        <f aca="false">IF(OR(B195="",D195=0),"",COUNTIFS(上位10件データ!$A:$A,$B195,上位10件データ!$H:$H,"はい")/D195)</f>
        <v/>
      </c>
      <c r="Q195" s="22"/>
    </row>
    <row r="196" customFormat="false" ht="15" hidden="false" customHeight="true" outlineLevel="0" collapsed="false">
      <c r="A196" s="19" t="str">
        <f aca="false">IF(B196="","",ROW()-1)</f>
        <v/>
      </c>
      <c r="B196" s="22"/>
      <c r="C196" s="9"/>
      <c r="D196" s="19" t="str">
        <f aca="false">IF(B196="","",COUNTIFS(上位10件データ!$A:$A,$B196))</f>
        <v/>
      </c>
      <c r="E196" s="28" t="str">
        <f aca="false">IF(OR(B196="",D196=0),"",AVERAGEIFS(上位10件データ!$G:$G,上位10件データ!$A:$A,$B196))</f>
        <v/>
      </c>
      <c r="F196" s="28" t="str">
        <f aca="false">IF(OR(B196="",D196=0),"",SUMIFS(上位10件データ!$G:$G,上位10件データ!$A:$A,$B196))</f>
        <v/>
      </c>
      <c r="G196" s="28" t="str">
        <f aca="false">IF(OR(B196="",D196=0),"",AVERAGEIFS(上位10件データ!$E:$E,上位10件データ!$A:$A,$B196))</f>
        <v/>
      </c>
      <c r="H196" s="19" t="str">
        <f aca="false">IF(OR(B196="",D196=0),"",COUNTIFS(上位10件データ!$A:$A,$B196,上位10件データ!$F:$F,"&gt;=1000"))</f>
        <v/>
      </c>
      <c r="I196" s="19" t="str">
        <f aca="false">IF(OR(B196="",D196=0),"",COUNTIFS(上位10件データ!$A:$A,$B196,上位10件データ!$F:$F,"&lt;100"))</f>
        <v/>
      </c>
      <c r="J196" s="19" t="str">
        <f aca="false">IF(E196="","",COUNTIF(L196:O196,"○")+IF(P196&gt;=0.5,1,0))</f>
        <v/>
      </c>
      <c r="K196" s="29" t="str">
        <f aca="false">IF(J196="","",IF(J196&gt;=設定!$B$19,"◎ 有力",IF(J196&gt;=設定!$B$20,"○ 候補",IF(J196&gt;=3,"△ 要検討","× 見送り"))))</f>
        <v/>
      </c>
      <c r="L196" s="19" t="str">
        <f aca="false">IF(E196="","",IF(E196&gt;=設定!$B$14,"○","×"))</f>
        <v/>
      </c>
      <c r="M196" s="19" t="str">
        <f aca="false">IF(H196="","",IF(H196&lt;=設定!$B$15,"○","×"))</f>
        <v/>
      </c>
      <c r="N196" s="19" t="str">
        <f aca="false">IF(I196="","",IF(I196&gt;=設定!$B$16,"○","×"))</f>
        <v/>
      </c>
      <c r="O196" s="19" t="str">
        <f aca="false">IF(G196="","",IF(AND(G196&gt;=設定!$B$17,G196&lt;=設定!$B$18),"○","×"))</f>
        <v/>
      </c>
      <c r="P196" s="30" t="str">
        <f aca="false">IF(OR(B196="",D196=0),"",COUNTIFS(上位10件データ!$A:$A,$B196,上位10件データ!$H:$H,"はい")/D196)</f>
        <v/>
      </c>
      <c r="Q196" s="22"/>
    </row>
    <row r="197" customFormat="false" ht="15" hidden="false" customHeight="true" outlineLevel="0" collapsed="false">
      <c r="A197" s="19" t="str">
        <f aca="false">IF(B197="","",ROW()-1)</f>
        <v/>
      </c>
      <c r="B197" s="22"/>
      <c r="C197" s="9"/>
      <c r="D197" s="19" t="str">
        <f aca="false">IF(B197="","",COUNTIFS(上位10件データ!$A:$A,$B197))</f>
        <v/>
      </c>
      <c r="E197" s="28" t="str">
        <f aca="false">IF(OR(B197="",D197=0),"",AVERAGEIFS(上位10件データ!$G:$G,上位10件データ!$A:$A,$B197))</f>
        <v/>
      </c>
      <c r="F197" s="28" t="str">
        <f aca="false">IF(OR(B197="",D197=0),"",SUMIFS(上位10件データ!$G:$G,上位10件データ!$A:$A,$B197))</f>
        <v/>
      </c>
      <c r="G197" s="28" t="str">
        <f aca="false">IF(OR(B197="",D197=0),"",AVERAGEIFS(上位10件データ!$E:$E,上位10件データ!$A:$A,$B197))</f>
        <v/>
      </c>
      <c r="H197" s="19" t="str">
        <f aca="false">IF(OR(B197="",D197=0),"",COUNTIFS(上位10件データ!$A:$A,$B197,上位10件データ!$F:$F,"&gt;=1000"))</f>
        <v/>
      </c>
      <c r="I197" s="19" t="str">
        <f aca="false">IF(OR(B197="",D197=0),"",COUNTIFS(上位10件データ!$A:$A,$B197,上位10件データ!$F:$F,"&lt;100"))</f>
        <v/>
      </c>
      <c r="J197" s="19" t="str">
        <f aca="false">IF(E197="","",COUNTIF(L197:O197,"○")+IF(P197&gt;=0.5,1,0))</f>
        <v/>
      </c>
      <c r="K197" s="29" t="str">
        <f aca="false">IF(J197="","",IF(J197&gt;=設定!$B$19,"◎ 有力",IF(J197&gt;=設定!$B$20,"○ 候補",IF(J197&gt;=3,"△ 要検討","× 見送り"))))</f>
        <v/>
      </c>
      <c r="L197" s="19" t="str">
        <f aca="false">IF(E197="","",IF(E197&gt;=設定!$B$14,"○","×"))</f>
        <v/>
      </c>
      <c r="M197" s="19" t="str">
        <f aca="false">IF(H197="","",IF(H197&lt;=設定!$B$15,"○","×"))</f>
        <v/>
      </c>
      <c r="N197" s="19" t="str">
        <f aca="false">IF(I197="","",IF(I197&gt;=設定!$B$16,"○","×"))</f>
        <v/>
      </c>
      <c r="O197" s="19" t="str">
        <f aca="false">IF(G197="","",IF(AND(G197&gt;=設定!$B$17,G197&lt;=設定!$B$18),"○","×"))</f>
        <v/>
      </c>
      <c r="P197" s="30" t="str">
        <f aca="false">IF(OR(B197="",D197=0),"",COUNTIFS(上位10件データ!$A:$A,$B197,上位10件データ!$H:$H,"はい")/D197)</f>
        <v/>
      </c>
      <c r="Q197" s="22"/>
    </row>
    <row r="198" customFormat="false" ht="15" hidden="false" customHeight="true" outlineLevel="0" collapsed="false">
      <c r="A198" s="19" t="str">
        <f aca="false">IF(B198="","",ROW()-1)</f>
        <v/>
      </c>
      <c r="B198" s="22"/>
      <c r="C198" s="9"/>
      <c r="D198" s="19" t="str">
        <f aca="false">IF(B198="","",COUNTIFS(上位10件データ!$A:$A,$B198))</f>
        <v/>
      </c>
      <c r="E198" s="28" t="str">
        <f aca="false">IF(OR(B198="",D198=0),"",AVERAGEIFS(上位10件データ!$G:$G,上位10件データ!$A:$A,$B198))</f>
        <v/>
      </c>
      <c r="F198" s="28" t="str">
        <f aca="false">IF(OR(B198="",D198=0),"",SUMIFS(上位10件データ!$G:$G,上位10件データ!$A:$A,$B198))</f>
        <v/>
      </c>
      <c r="G198" s="28" t="str">
        <f aca="false">IF(OR(B198="",D198=0),"",AVERAGEIFS(上位10件データ!$E:$E,上位10件データ!$A:$A,$B198))</f>
        <v/>
      </c>
      <c r="H198" s="19" t="str">
        <f aca="false">IF(OR(B198="",D198=0),"",COUNTIFS(上位10件データ!$A:$A,$B198,上位10件データ!$F:$F,"&gt;=1000"))</f>
        <v/>
      </c>
      <c r="I198" s="19" t="str">
        <f aca="false">IF(OR(B198="",D198=0),"",COUNTIFS(上位10件データ!$A:$A,$B198,上位10件データ!$F:$F,"&lt;100"))</f>
        <v/>
      </c>
      <c r="J198" s="19" t="str">
        <f aca="false">IF(E198="","",COUNTIF(L198:O198,"○")+IF(P198&gt;=0.5,1,0))</f>
        <v/>
      </c>
      <c r="K198" s="29" t="str">
        <f aca="false">IF(J198="","",IF(J198&gt;=設定!$B$19,"◎ 有力",IF(J198&gt;=設定!$B$20,"○ 候補",IF(J198&gt;=3,"△ 要検討","× 見送り"))))</f>
        <v/>
      </c>
      <c r="L198" s="19" t="str">
        <f aca="false">IF(E198="","",IF(E198&gt;=設定!$B$14,"○","×"))</f>
        <v/>
      </c>
      <c r="M198" s="19" t="str">
        <f aca="false">IF(H198="","",IF(H198&lt;=設定!$B$15,"○","×"))</f>
        <v/>
      </c>
      <c r="N198" s="19" t="str">
        <f aca="false">IF(I198="","",IF(I198&gt;=設定!$B$16,"○","×"))</f>
        <v/>
      </c>
      <c r="O198" s="19" t="str">
        <f aca="false">IF(G198="","",IF(AND(G198&gt;=設定!$B$17,G198&lt;=設定!$B$18),"○","×"))</f>
        <v/>
      </c>
      <c r="P198" s="30" t="str">
        <f aca="false">IF(OR(B198="",D198=0),"",COUNTIFS(上位10件データ!$A:$A,$B198,上位10件データ!$H:$H,"はい")/D198)</f>
        <v/>
      </c>
      <c r="Q198" s="22"/>
    </row>
    <row r="199" customFormat="false" ht="15" hidden="false" customHeight="true" outlineLevel="0" collapsed="false">
      <c r="A199" s="19" t="str">
        <f aca="false">IF(B199="","",ROW()-1)</f>
        <v/>
      </c>
      <c r="B199" s="22"/>
      <c r="C199" s="9"/>
      <c r="D199" s="19" t="str">
        <f aca="false">IF(B199="","",COUNTIFS(上位10件データ!$A:$A,$B199))</f>
        <v/>
      </c>
      <c r="E199" s="28" t="str">
        <f aca="false">IF(OR(B199="",D199=0),"",AVERAGEIFS(上位10件データ!$G:$G,上位10件データ!$A:$A,$B199))</f>
        <v/>
      </c>
      <c r="F199" s="28" t="str">
        <f aca="false">IF(OR(B199="",D199=0),"",SUMIFS(上位10件データ!$G:$G,上位10件データ!$A:$A,$B199))</f>
        <v/>
      </c>
      <c r="G199" s="28" t="str">
        <f aca="false">IF(OR(B199="",D199=0),"",AVERAGEIFS(上位10件データ!$E:$E,上位10件データ!$A:$A,$B199))</f>
        <v/>
      </c>
      <c r="H199" s="19" t="str">
        <f aca="false">IF(OR(B199="",D199=0),"",COUNTIFS(上位10件データ!$A:$A,$B199,上位10件データ!$F:$F,"&gt;=1000"))</f>
        <v/>
      </c>
      <c r="I199" s="19" t="str">
        <f aca="false">IF(OR(B199="",D199=0),"",COUNTIFS(上位10件データ!$A:$A,$B199,上位10件データ!$F:$F,"&lt;100"))</f>
        <v/>
      </c>
      <c r="J199" s="19" t="str">
        <f aca="false">IF(E199="","",COUNTIF(L199:O199,"○")+IF(P199&gt;=0.5,1,0))</f>
        <v/>
      </c>
      <c r="K199" s="29" t="str">
        <f aca="false">IF(J199="","",IF(J199&gt;=設定!$B$19,"◎ 有力",IF(J199&gt;=設定!$B$20,"○ 候補",IF(J199&gt;=3,"△ 要検討","× 見送り"))))</f>
        <v/>
      </c>
      <c r="L199" s="19" t="str">
        <f aca="false">IF(E199="","",IF(E199&gt;=設定!$B$14,"○","×"))</f>
        <v/>
      </c>
      <c r="M199" s="19" t="str">
        <f aca="false">IF(H199="","",IF(H199&lt;=設定!$B$15,"○","×"))</f>
        <v/>
      </c>
      <c r="N199" s="19" t="str">
        <f aca="false">IF(I199="","",IF(I199&gt;=設定!$B$16,"○","×"))</f>
        <v/>
      </c>
      <c r="O199" s="19" t="str">
        <f aca="false">IF(G199="","",IF(AND(G199&gt;=設定!$B$17,G199&lt;=設定!$B$18),"○","×"))</f>
        <v/>
      </c>
      <c r="P199" s="30" t="str">
        <f aca="false">IF(OR(B199="",D199=0),"",COUNTIFS(上位10件データ!$A:$A,$B199,上位10件データ!$H:$H,"はい")/D199)</f>
        <v/>
      </c>
      <c r="Q199" s="22"/>
    </row>
    <row r="200" customFormat="false" ht="15" hidden="false" customHeight="true" outlineLevel="0" collapsed="false">
      <c r="A200" s="19" t="str">
        <f aca="false">IF(B200="","",ROW()-1)</f>
        <v/>
      </c>
      <c r="B200" s="22"/>
      <c r="C200" s="9"/>
      <c r="D200" s="19" t="str">
        <f aca="false">IF(B200="","",COUNTIFS(上位10件データ!$A:$A,$B200))</f>
        <v/>
      </c>
      <c r="E200" s="28" t="str">
        <f aca="false">IF(OR(B200="",D200=0),"",AVERAGEIFS(上位10件データ!$G:$G,上位10件データ!$A:$A,$B200))</f>
        <v/>
      </c>
      <c r="F200" s="28" t="str">
        <f aca="false">IF(OR(B200="",D200=0),"",SUMIFS(上位10件データ!$G:$G,上位10件データ!$A:$A,$B200))</f>
        <v/>
      </c>
      <c r="G200" s="28" t="str">
        <f aca="false">IF(OR(B200="",D200=0),"",AVERAGEIFS(上位10件データ!$E:$E,上位10件データ!$A:$A,$B200))</f>
        <v/>
      </c>
      <c r="H200" s="19" t="str">
        <f aca="false">IF(OR(B200="",D200=0),"",COUNTIFS(上位10件データ!$A:$A,$B200,上位10件データ!$F:$F,"&gt;=1000"))</f>
        <v/>
      </c>
      <c r="I200" s="19" t="str">
        <f aca="false">IF(OR(B200="",D200=0),"",COUNTIFS(上位10件データ!$A:$A,$B200,上位10件データ!$F:$F,"&lt;100"))</f>
        <v/>
      </c>
      <c r="J200" s="19" t="str">
        <f aca="false">IF(E200="","",COUNTIF(L200:O200,"○")+IF(P200&gt;=0.5,1,0))</f>
        <v/>
      </c>
      <c r="K200" s="29" t="str">
        <f aca="false">IF(J200="","",IF(J200&gt;=設定!$B$19,"◎ 有力",IF(J200&gt;=設定!$B$20,"○ 候補",IF(J200&gt;=3,"△ 要検討","× 見送り"))))</f>
        <v/>
      </c>
      <c r="L200" s="19" t="str">
        <f aca="false">IF(E200="","",IF(E200&gt;=設定!$B$14,"○","×"))</f>
        <v/>
      </c>
      <c r="M200" s="19" t="str">
        <f aca="false">IF(H200="","",IF(H200&lt;=設定!$B$15,"○","×"))</f>
        <v/>
      </c>
      <c r="N200" s="19" t="str">
        <f aca="false">IF(I200="","",IF(I200&gt;=設定!$B$16,"○","×"))</f>
        <v/>
      </c>
      <c r="O200" s="19" t="str">
        <f aca="false">IF(G200="","",IF(AND(G200&gt;=設定!$B$17,G200&lt;=設定!$B$18),"○","×"))</f>
        <v/>
      </c>
      <c r="P200" s="30" t="str">
        <f aca="false">IF(OR(B200="",D200=0),"",COUNTIFS(上位10件データ!$A:$A,$B200,上位10件データ!$H:$H,"はい")/D200)</f>
        <v/>
      </c>
      <c r="Q200" s="22"/>
    </row>
    <row r="201" customFormat="false" ht="15" hidden="false" customHeight="true" outlineLevel="0" collapsed="false">
      <c r="A201" s="19" t="str">
        <f aca="false">IF(B201="","",ROW()-1)</f>
        <v/>
      </c>
      <c r="B201" s="22"/>
      <c r="C201" s="9"/>
      <c r="D201" s="19" t="str">
        <f aca="false">IF(B201="","",COUNTIFS(上位10件データ!$A:$A,$B201))</f>
        <v/>
      </c>
      <c r="E201" s="28" t="str">
        <f aca="false">IF(OR(B201="",D201=0),"",AVERAGEIFS(上位10件データ!$G:$G,上位10件データ!$A:$A,$B201))</f>
        <v/>
      </c>
      <c r="F201" s="28" t="str">
        <f aca="false">IF(OR(B201="",D201=0),"",SUMIFS(上位10件データ!$G:$G,上位10件データ!$A:$A,$B201))</f>
        <v/>
      </c>
      <c r="G201" s="28" t="str">
        <f aca="false">IF(OR(B201="",D201=0),"",AVERAGEIFS(上位10件データ!$E:$E,上位10件データ!$A:$A,$B201))</f>
        <v/>
      </c>
      <c r="H201" s="19" t="str">
        <f aca="false">IF(OR(B201="",D201=0),"",COUNTIFS(上位10件データ!$A:$A,$B201,上位10件データ!$F:$F,"&gt;=1000"))</f>
        <v/>
      </c>
      <c r="I201" s="19" t="str">
        <f aca="false">IF(OR(B201="",D201=0),"",COUNTIFS(上位10件データ!$A:$A,$B201,上位10件データ!$F:$F,"&lt;100"))</f>
        <v/>
      </c>
      <c r="J201" s="19" t="str">
        <f aca="false">IF(E201="","",COUNTIF(L201:O201,"○")+IF(P201&gt;=0.5,1,0))</f>
        <v/>
      </c>
      <c r="K201" s="29" t="str">
        <f aca="false">IF(J201="","",IF(J201&gt;=設定!$B$19,"◎ 有力",IF(J201&gt;=設定!$B$20,"○ 候補",IF(J201&gt;=3,"△ 要検討","× 見送り"))))</f>
        <v/>
      </c>
      <c r="L201" s="19" t="str">
        <f aca="false">IF(E201="","",IF(E201&gt;=設定!$B$14,"○","×"))</f>
        <v/>
      </c>
      <c r="M201" s="19" t="str">
        <f aca="false">IF(H201="","",IF(H201&lt;=設定!$B$15,"○","×"))</f>
        <v/>
      </c>
      <c r="N201" s="19" t="str">
        <f aca="false">IF(I201="","",IF(I201&gt;=設定!$B$16,"○","×"))</f>
        <v/>
      </c>
      <c r="O201" s="19" t="str">
        <f aca="false">IF(G201="","",IF(AND(G201&gt;=設定!$B$17,G201&lt;=設定!$B$18),"○","×"))</f>
        <v/>
      </c>
      <c r="P201" s="30" t="str">
        <f aca="false">IF(OR(B201="",D201=0),"",COUNTIFS(上位10件データ!$A:$A,$B201,上位10件データ!$H:$H,"はい")/D201)</f>
        <v/>
      </c>
      <c r="Q201" s="22"/>
    </row>
  </sheetData>
  <autoFilter ref="A1:Q201"/>
  <conditionalFormatting sqref="K2:K201">
    <cfRule type="expression" priority="2" aboveAverage="0" equalAverage="0" bottom="0" percent="0" rank="0" text="" dxfId="8">
      <formula>LEFT(K2,1)="◎"</formula>
    </cfRule>
    <cfRule type="expression" priority="3" aboveAverage="0" equalAverage="0" bottom="0" percent="0" rank="0" text="" dxfId="9">
      <formula>LEFT(K2,1)="○"</formula>
    </cfRule>
    <cfRule type="expression" priority="4" aboveAverage="0" equalAverage="0" bottom="0" percent="0" rank="0" text="" dxfId="10">
      <formula>LEFT(K2,1)="△"</formula>
    </cfRule>
    <cfRule type="expression" priority="5" aboveAverage="0" equalAverage="0" bottom="0" percent="0" rank="0" text="" dxfId="11">
      <formula>LEFT(K2,1)="×"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0"/>
    <col collapsed="false" customWidth="true" hidden="false" outlineLevel="0" max="10" min="7" style="1" width="11"/>
    <col collapsed="false" customWidth="true" hidden="false" outlineLevel="0" max="12" min="11" style="1" width="8"/>
    <col collapsed="false" customWidth="true" hidden="false" outlineLevel="0" max="14" min="13" style="1" width="12"/>
    <col collapsed="false" customWidth="true" hidden="false" outlineLevel="0" max="15" min="15" style="1" width="9"/>
    <col collapsed="false" customWidth="true" hidden="false" outlineLevel="0" max="16" min="16" style="1" width="14"/>
  </cols>
  <sheetData>
    <row r="1" customFormat="false" ht="36" hidden="false" customHeight="true" outlineLevel="0" collapsed="false">
      <c r="A1" s="18" t="s">
        <v>456</v>
      </c>
      <c r="B1" s="18" t="s">
        <v>457</v>
      </c>
      <c r="C1" s="18" t="s">
        <v>458</v>
      </c>
      <c r="D1" s="18" t="s">
        <v>459</v>
      </c>
      <c r="E1" s="18" t="s">
        <v>460</v>
      </c>
      <c r="F1" s="17" t="s">
        <v>461</v>
      </c>
      <c r="G1" s="18" t="s">
        <v>462</v>
      </c>
      <c r="H1" s="18" t="s">
        <v>463</v>
      </c>
      <c r="I1" s="17" t="s">
        <v>464</v>
      </c>
      <c r="J1" s="17" t="s">
        <v>465</v>
      </c>
      <c r="K1" s="18" t="s">
        <v>466</v>
      </c>
      <c r="L1" s="17" t="s">
        <v>467</v>
      </c>
      <c r="M1" s="18" t="s">
        <v>468</v>
      </c>
      <c r="N1" s="18" t="s">
        <v>469</v>
      </c>
      <c r="O1" s="18" t="s">
        <v>470</v>
      </c>
      <c r="P1" s="18" t="s">
        <v>449</v>
      </c>
    </row>
    <row r="2" customFormat="false" ht="15" hidden="false" customHeight="true" outlineLevel="0" collapsed="false">
      <c r="A2" s="31" t="s">
        <v>471</v>
      </c>
      <c r="B2" s="32" t="n">
        <v>1580</v>
      </c>
      <c r="C2" s="33" t="n">
        <v>12</v>
      </c>
      <c r="D2" s="33" t="n">
        <v>1</v>
      </c>
      <c r="E2" s="32" t="n">
        <v>120</v>
      </c>
      <c r="F2" s="32" t="n">
        <v>60</v>
      </c>
      <c r="G2" s="34" t="n">
        <f aca="false">IF(B2="","",(C2+D2)*設定!$B$6*(1+設定!$B$7)+E2+F2)</f>
        <v>466.65</v>
      </c>
      <c r="H2" s="34" t="n">
        <f aca="false">IF(B2="","",ROUND(G2*設定!$B$8+G2*(1+設定!$B$8)*設定!$B$9,0))</f>
        <v>98</v>
      </c>
      <c r="I2" s="34" t="n">
        <f aca="false">IF(B2="","",ROUND(B2*設定!$B$10,0)+設定!$B$11+設定!$B$12)</f>
        <v>496</v>
      </c>
      <c r="J2" s="35" t="n">
        <f aca="false">IF(B2="","",B2-G2-H2-I2)</f>
        <v>519.35</v>
      </c>
      <c r="K2" s="36" t="n">
        <f aca="false">IF(B2="","",IFERROR(J2/B2,""))</f>
        <v>0.32870253164557</v>
      </c>
      <c r="L2" s="36" t="n">
        <f aca="false">IF(B2="","",IFERROR(J2/(G2+H2),""))</f>
        <v>0.919773310900558</v>
      </c>
      <c r="M2" s="34" t="n">
        <f aca="false">IF(B2="","",IF(J2&lt;=0,"赤字",ROUNDUP(設定!$B$3/J2,0)))</f>
        <v>97</v>
      </c>
      <c r="N2" s="34" t="n">
        <f aca="false">IF(B2="","",IFERROR(ROUNDDOWN(設定!$B$4/(G2+H2),0),""))</f>
        <v>88</v>
      </c>
      <c r="O2" s="32" t="n">
        <v>50</v>
      </c>
      <c r="P2" s="37" t="str">
        <f aca="false">IF(B2="","",IF(J2&lt;=0,"× 赤字",IF(AND(K2&gt;=設定!$B$22,J2&gt;=設定!$B$23),IF(AND(O2&lt;&gt;"",N2&lt;O2),"△ 予算不足","○ OK"),"△ 利益薄い")))</f>
        <v>○ OK</v>
      </c>
    </row>
    <row r="3" customFormat="false" ht="15" hidden="false" customHeight="true" outlineLevel="0" collapsed="false">
      <c r="A3" s="22"/>
      <c r="B3" s="9"/>
      <c r="C3" s="38"/>
      <c r="D3" s="38"/>
      <c r="E3" s="9"/>
      <c r="F3" s="9"/>
      <c r="G3" s="28" t="str">
        <f aca="false">IF(B3="","",(C3+D3)*設定!$B$6*(1+設定!$B$7)+E3+F3)</f>
        <v/>
      </c>
      <c r="H3" s="28" t="str">
        <f aca="false">IF(B3="","",ROUND(G3*設定!$B$8+G3*(1+設定!$B$8)*設定!$B$9,0))</f>
        <v/>
      </c>
      <c r="I3" s="28" t="str">
        <f aca="false">IF(B3="","",ROUND(B3*設定!$B$10,0)+設定!$B$11+設定!$B$12)</f>
        <v/>
      </c>
      <c r="J3" s="39" t="str">
        <f aca="false">IF(B3="","",B3-G3-H3-I3)</f>
        <v/>
      </c>
      <c r="K3" s="40" t="str">
        <f aca="false">IF(B3="","",IFERROR(J3/B3,""))</f>
        <v/>
      </c>
      <c r="L3" s="40" t="str">
        <f aca="false">IF(B3="","",IFERROR(J3/(G3+H3),""))</f>
        <v/>
      </c>
      <c r="M3" s="28" t="str">
        <f aca="false">IF(B3="","",IF(J3&lt;=0,"赤字",ROUNDUP(設定!$B$3/J3,0)))</f>
        <v/>
      </c>
      <c r="N3" s="28" t="str">
        <f aca="false">IF(B3="","",IFERROR(ROUNDDOWN(設定!$B$4/(G3+H3),0),""))</f>
        <v/>
      </c>
      <c r="O3" s="9"/>
      <c r="P3" s="29" t="str">
        <f aca="false">IF(B3="","",IF(J3&lt;=0,"× 赤字",IF(AND(K3&gt;=設定!$B$22,J3&gt;=設定!$B$23),IF(AND(O3&lt;&gt;"",N3&lt;O3),"△ 予算不足","○ OK"),"△ 利益薄い")))</f>
        <v/>
      </c>
    </row>
    <row r="4" customFormat="false" ht="15" hidden="false" customHeight="true" outlineLevel="0" collapsed="false">
      <c r="A4" s="22"/>
      <c r="B4" s="9"/>
      <c r="C4" s="38"/>
      <c r="D4" s="38"/>
      <c r="E4" s="9"/>
      <c r="F4" s="9"/>
      <c r="G4" s="28" t="str">
        <f aca="false">IF(B4="","",(C4+D4)*設定!$B$6*(1+設定!$B$7)+E4+F4)</f>
        <v/>
      </c>
      <c r="H4" s="28" t="str">
        <f aca="false">IF(B4="","",ROUND(G4*設定!$B$8+G4*(1+設定!$B$8)*設定!$B$9,0))</f>
        <v/>
      </c>
      <c r="I4" s="28" t="str">
        <f aca="false">IF(B4="","",ROUND(B4*設定!$B$10,0)+設定!$B$11+設定!$B$12)</f>
        <v/>
      </c>
      <c r="J4" s="39" t="str">
        <f aca="false">IF(B4="","",B4-G4-H4-I4)</f>
        <v/>
      </c>
      <c r="K4" s="40" t="str">
        <f aca="false">IF(B4="","",IFERROR(J4/B4,""))</f>
        <v/>
      </c>
      <c r="L4" s="40" t="str">
        <f aca="false">IF(B4="","",IFERROR(J4/(G4+H4),""))</f>
        <v/>
      </c>
      <c r="M4" s="28" t="str">
        <f aca="false">IF(B4="","",IF(J4&lt;=0,"赤字",ROUNDUP(設定!$B$3/J4,0)))</f>
        <v/>
      </c>
      <c r="N4" s="28" t="str">
        <f aca="false">IF(B4="","",IFERROR(ROUNDDOWN(設定!$B$4/(G4+H4),0),""))</f>
        <v/>
      </c>
      <c r="O4" s="9"/>
      <c r="P4" s="29" t="str">
        <f aca="false">IF(B4="","",IF(J4&lt;=0,"× 赤字",IF(AND(K4&gt;=設定!$B$22,J4&gt;=設定!$B$23),IF(AND(O4&lt;&gt;"",N4&lt;O4),"△ 予算不足","○ OK"),"△ 利益薄い")))</f>
        <v/>
      </c>
    </row>
    <row r="5" customFormat="false" ht="15" hidden="false" customHeight="true" outlineLevel="0" collapsed="false">
      <c r="A5" s="22"/>
      <c r="B5" s="9"/>
      <c r="C5" s="38"/>
      <c r="D5" s="38"/>
      <c r="E5" s="9"/>
      <c r="F5" s="9"/>
      <c r="G5" s="28" t="str">
        <f aca="false">IF(B5="","",(C5+D5)*設定!$B$6*(1+設定!$B$7)+E5+F5)</f>
        <v/>
      </c>
      <c r="H5" s="28" t="str">
        <f aca="false">IF(B5="","",ROUND(G5*設定!$B$8+G5*(1+設定!$B$8)*設定!$B$9,0))</f>
        <v/>
      </c>
      <c r="I5" s="28" t="str">
        <f aca="false">IF(B5="","",ROUND(B5*設定!$B$10,0)+設定!$B$11+設定!$B$12)</f>
        <v/>
      </c>
      <c r="J5" s="39" t="str">
        <f aca="false">IF(B5="","",B5-G5-H5-I5)</f>
        <v/>
      </c>
      <c r="K5" s="40" t="str">
        <f aca="false">IF(B5="","",IFERROR(J5/B5,""))</f>
        <v/>
      </c>
      <c r="L5" s="40" t="str">
        <f aca="false">IF(B5="","",IFERROR(J5/(G5+H5),""))</f>
        <v/>
      </c>
      <c r="M5" s="28" t="str">
        <f aca="false">IF(B5="","",IF(J5&lt;=0,"赤字",ROUNDUP(設定!$B$3/J5,0)))</f>
        <v/>
      </c>
      <c r="N5" s="28" t="str">
        <f aca="false">IF(B5="","",IFERROR(ROUNDDOWN(設定!$B$4/(G5+H5),0),""))</f>
        <v/>
      </c>
      <c r="O5" s="9"/>
      <c r="P5" s="29" t="str">
        <f aca="false">IF(B5="","",IF(J5&lt;=0,"× 赤字",IF(AND(K5&gt;=設定!$B$22,J5&gt;=設定!$B$23),IF(AND(O5&lt;&gt;"",N5&lt;O5),"△ 予算不足","○ OK"),"△ 利益薄い")))</f>
        <v/>
      </c>
    </row>
    <row r="6" customFormat="false" ht="15" hidden="false" customHeight="true" outlineLevel="0" collapsed="false">
      <c r="A6" s="22"/>
      <c r="B6" s="9"/>
      <c r="C6" s="38"/>
      <c r="D6" s="38"/>
      <c r="E6" s="9"/>
      <c r="F6" s="9"/>
      <c r="G6" s="28" t="str">
        <f aca="false">IF(B6="","",(C6+D6)*設定!$B$6*(1+設定!$B$7)+E6+F6)</f>
        <v/>
      </c>
      <c r="H6" s="28" t="str">
        <f aca="false">IF(B6="","",ROUND(G6*設定!$B$8+G6*(1+設定!$B$8)*設定!$B$9,0))</f>
        <v/>
      </c>
      <c r="I6" s="28" t="str">
        <f aca="false">IF(B6="","",ROUND(B6*設定!$B$10,0)+設定!$B$11+設定!$B$12)</f>
        <v/>
      </c>
      <c r="J6" s="39" t="str">
        <f aca="false">IF(B6="","",B6-G6-H6-I6)</f>
        <v/>
      </c>
      <c r="K6" s="40" t="str">
        <f aca="false">IF(B6="","",IFERROR(J6/B6,""))</f>
        <v/>
      </c>
      <c r="L6" s="40" t="str">
        <f aca="false">IF(B6="","",IFERROR(J6/(G6+H6),""))</f>
        <v/>
      </c>
      <c r="M6" s="28" t="str">
        <f aca="false">IF(B6="","",IF(J6&lt;=0,"赤字",ROUNDUP(設定!$B$3/J6,0)))</f>
        <v/>
      </c>
      <c r="N6" s="28" t="str">
        <f aca="false">IF(B6="","",IFERROR(ROUNDDOWN(設定!$B$4/(G6+H6),0),""))</f>
        <v/>
      </c>
      <c r="O6" s="9"/>
      <c r="P6" s="29" t="str">
        <f aca="false">IF(B6="","",IF(J6&lt;=0,"× 赤字",IF(AND(K6&gt;=設定!$B$22,J6&gt;=設定!$B$23),IF(AND(O6&lt;&gt;"",N6&lt;O6),"△ 予算不足","○ OK"),"△ 利益薄い")))</f>
        <v/>
      </c>
    </row>
    <row r="7" customFormat="false" ht="15" hidden="false" customHeight="true" outlineLevel="0" collapsed="false">
      <c r="A7" s="22"/>
      <c r="B7" s="9"/>
      <c r="C7" s="38"/>
      <c r="D7" s="38"/>
      <c r="E7" s="9"/>
      <c r="F7" s="9"/>
      <c r="G7" s="28" t="str">
        <f aca="false">IF(B7="","",(C7+D7)*設定!$B$6*(1+設定!$B$7)+E7+F7)</f>
        <v/>
      </c>
      <c r="H7" s="28" t="str">
        <f aca="false">IF(B7="","",ROUND(G7*設定!$B$8+G7*(1+設定!$B$8)*設定!$B$9,0))</f>
        <v/>
      </c>
      <c r="I7" s="28" t="str">
        <f aca="false">IF(B7="","",ROUND(B7*設定!$B$10,0)+設定!$B$11+設定!$B$12)</f>
        <v/>
      </c>
      <c r="J7" s="39" t="str">
        <f aca="false">IF(B7="","",B7-G7-H7-I7)</f>
        <v/>
      </c>
      <c r="K7" s="40" t="str">
        <f aca="false">IF(B7="","",IFERROR(J7/B7,""))</f>
        <v/>
      </c>
      <c r="L7" s="40" t="str">
        <f aca="false">IF(B7="","",IFERROR(J7/(G7+H7),""))</f>
        <v/>
      </c>
      <c r="M7" s="28" t="str">
        <f aca="false">IF(B7="","",IF(J7&lt;=0,"赤字",ROUNDUP(設定!$B$3/J7,0)))</f>
        <v/>
      </c>
      <c r="N7" s="28" t="str">
        <f aca="false">IF(B7="","",IFERROR(ROUNDDOWN(設定!$B$4/(G7+H7),0),""))</f>
        <v/>
      </c>
      <c r="O7" s="9"/>
      <c r="P7" s="29" t="str">
        <f aca="false">IF(B7="","",IF(J7&lt;=0,"× 赤字",IF(AND(K7&gt;=設定!$B$22,J7&gt;=設定!$B$23),IF(AND(O7&lt;&gt;"",N7&lt;O7),"△ 予算不足","○ OK"),"△ 利益薄い")))</f>
        <v/>
      </c>
    </row>
    <row r="8" customFormat="false" ht="15" hidden="false" customHeight="true" outlineLevel="0" collapsed="false">
      <c r="A8" s="22"/>
      <c r="B8" s="9"/>
      <c r="C8" s="38"/>
      <c r="D8" s="38"/>
      <c r="E8" s="9"/>
      <c r="F8" s="9"/>
      <c r="G8" s="28" t="str">
        <f aca="false">IF(B8="","",(C8+D8)*設定!$B$6*(1+設定!$B$7)+E8+F8)</f>
        <v/>
      </c>
      <c r="H8" s="28" t="str">
        <f aca="false">IF(B8="","",ROUND(G8*設定!$B$8+G8*(1+設定!$B$8)*設定!$B$9,0))</f>
        <v/>
      </c>
      <c r="I8" s="28" t="str">
        <f aca="false">IF(B8="","",ROUND(B8*設定!$B$10,0)+設定!$B$11+設定!$B$12)</f>
        <v/>
      </c>
      <c r="J8" s="39" t="str">
        <f aca="false">IF(B8="","",B8-G8-H8-I8)</f>
        <v/>
      </c>
      <c r="K8" s="40" t="str">
        <f aca="false">IF(B8="","",IFERROR(J8/B8,""))</f>
        <v/>
      </c>
      <c r="L8" s="40" t="str">
        <f aca="false">IF(B8="","",IFERROR(J8/(G8+H8),""))</f>
        <v/>
      </c>
      <c r="M8" s="28" t="str">
        <f aca="false">IF(B8="","",IF(J8&lt;=0,"赤字",ROUNDUP(設定!$B$3/J8,0)))</f>
        <v/>
      </c>
      <c r="N8" s="28" t="str">
        <f aca="false">IF(B8="","",IFERROR(ROUNDDOWN(設定!$B$4/(G8+H8),0),""))</f>
        <v/>
      </c>
      <c r="O8" s="9"/>
      <c r="P8" s="29" t="str">
        <f aca="false">IF(B8="","",IF(J8&lt;=0,"× 赤字",IF(AND(K8&gt;=設定!$B$22,J8&gt;=設定!$B$23),IF(AND(O8&lt;&gt;"",N8&lt;O8),"△ 予算不足","○ OK"),"△ 利益薄い")))</f>
        <v/>
      </c>
    </row>
    <row r="9" customFormat="false" ht="15" hidden="false" customHeight="true" outlineLevel="0" collapsed="false">
      <c r="A9" s="22"/>
      <c r="B9" s="9"/>
      <c r="C9" s="38"/>
      <c r="D9" s="38"/>
      <c r="E9" s="9"/>
      <c r="F9" s="9"/>
      <c r="G9" s="28" t="str">
        <f aca="false">IF(B9="","",(C9+D9)*設定!$B$6*(1+設定!$B$7)+E9+F9)</f>
        <v/>
      </c>
      <c r="H9" s="28" t="str">
        <f aca="false">IF(B9="","",ROUND(G9*設定!$B$8+G9*(1+設定!$B$8)*設定!$B$9,0))</f>
        <v/>
      </c>
      <c r="I9" s="28" t="str">
        <f aca="false">IF(B9="","",ROUND(B9*設定!$B$10,0)+設定!$B$11+設定!$B$12)</f>
        <v/>
      </c>
      <c r="J9" s="39" t="str">
        <f aca="false">IF(B9="","",B9-G9-H9-I9)</f>
        <v/>
      </c>
      <c r="K9" s="40" t="str">
        <f aca="false">IF(B9="","",IFERROR(J9/B9,""))</f>
        <v/>
      </c>
      <c r="L9" s="40" t="str">
        <f aca="false">IF(B9="","",IFERROR(J9/(G9+H9),""))</f>
        <v/>
      </c>
      <c r="M9" s="28" t="str">
        <f aca="false">IF(B9="","",IF(J9&lt;=0,"赤字",ROUNDUP(設定!$B$3/J9,0)))</f>
        <v/>
      </c>
      <c r="N9" s="28" t="str">
        <f aca="false">IF(B9="","",IFERROR(ROUNDDOWN(設定!$B$4/(G9+H9),0),""))</f>
        <v/>
      </c>
      <c r="O9" s="9"/>
      <c r="P9" s="29" t="str">
        <f aca="false">IF(B9="","",IF(J9&lt;=0,"× 赤字",IF(AND(K9&gt;=設定!$B$22,J9&gt;=設定!$B$23),IF(AND(O9&lt;&gt;"",N9&lt;O9),"△ 予算不足","○ OK"),"△ 利益薄い")))</f>
        <v/>
      </c>
    </row>
    <row r="10" customFormat="false" ht="15" hidden="false" customHeight="true" outlineLevel="0" collapsed="false">
      <c r="A10" s="22"/>
      <c r="B10" s="9"/>
      <c r="C10" s="38"/>
      <c r="D10" s="38"/>
      <c r="E10" s="9"/>
      <c r="F10" s="9"/>
      <c r="G10" s="28" t="str">
        <f aca="false">IF(B10="","",(C10+D10)*設定!$B$6*(1+設定!$B$7)+E10+F10)</f>
        <v/>
      </c>
      <c r="H10" s="28" t="str">
        <f aca="false">IF(B10="","",ROUND(G10*設定!$B$8+G10*(1+設定!$B$8)*設定!$B$9,0))</f>
        <v/>
      </c>
      <c r="I10" s="28" t="str">
        <f aca="false">IF(B10="","",ROUND(B10*設定!$B$10,0)+設定!$B$11+設定!$B$12)</f>
        <v/>
      </c>
      <c r="J10" s="39" t="str">
        <f aca="false">IF(B10="","",B10-G10-H10-I10)</f>
        <v/>
      </c>
      <c r="K10" s="40" t="str">
        <f aca="false">IF(B10="","",IFERROR(J10/B10,""))</f>
        <v/>
      </c>
      <c r="L10" s="40" t="str">
        <f aca="false">IF(B10="","",IFERROR(J10/(G10+H10),""))</f>
        <v/>
      </c>
      <c r="M10" s="28" t="str">
        <f aca="false">IF(B10="","",IF(J10&lt;=0,"赤字",ROUNDUP(設定!$B$3/J10,0)))</f>
        <v/>
      </c>
      <c r="N10" s="28" t="str">
        <f aca="false">IF(B10="","",IFERROR(ROUNDDOWN(設定!$B$4/(G10+H10),0),""))</f>
        <v/>
      </c>
      <c r="O10" s="9"/>
      <c r="P10" s="29" t="str">
        <f aca="false">IF(B10="","",IF(J10&lt;=0,"× 赤字",IF(AND(K10&gt;=設定!$B$22,J10&gt;=設定!$B$23),IF(AND(O10&lt;&gt;"",N10&lt;O10),"△ 予算不足","○ OK"),"△ 利益薄い")))</f>
        <v/>
      </c>
    </row>
    <row r="11" customFormat="false" ht="15" hidden="false" customHeight="true" outlineLevel="0" collapsed="false">
      <c r="A11" s="22"/>
      <c r="B11" s="9"/>
      <c r="C11" s="38"/>
      <c r="D11" s="38"/>
      <c r="E11" s="9"/>
      <c r="F11" s="9"/>
      <c r="G11" s="28" t="str">
        <f aca="false">IF(B11="","",(C11+D11)*設定!$B$6*(1+設定!$B$7)+E11+F11)</f>
        <v/>
      </c>
      <c r="H11" s="28" t="str">
        <f aca="false">IF(B11="","",ROUND(G11*設定!$B$8+G11*(1+設定!$B$8)*設定!$B$9,0))</f>
        <v/>
      </c>
      <c r="I11" s="28" t="str">
        <f aca="false">IF(B11="","",ROUND(B11*設定!$B$10,0)+設定!$B$11+設定!$B$12)</f>
        <v/>
      </c>
      <c r="J11" s="39" t="str">
        <f aca="false">IF(B11="","",B11-G11-H11-I11)</f>
        <v/>
      </c>
      <c r="K11" s="40" t="str">
        <f aca="false">IF(B11="","",IFERROR(J11/B11,""))</f>
        <v/>
      </c>
      <c r="L11" s="40" t="str">
        <f aca="false">IF(B11="","",IFERROR(J11/(G11+H11),""))</f>
        <v/>
      </c>
      <c r="M11" s="28" t="str">
        <f aca="false">IF(B11="","",IF(J11&lt;=0,"赤字",ROUNDUP(設定!$B$3/J11,0)))</f>
        <v/>
      </c>
      <c r="N11" s="28" t="str">
        <f aca="false">IF(B11="","",IFERROR(ROUNDDOWN(設定!$B$4/(G11+H11),0),""))</f>
        <v/>
      </c>
      <c r="O11" s="9"/>
      <c r="P11" s="29" t="str">
        <f aca="false">IF(B11="","",IF(J11&lt;=0,"× 赤字",IF(AND(K11&gt;=設定!$B$22,J11&gt;=設定!$B$23),IF(AND(O11&lt;&gt;"",N11&lt;O11),"△ 予算不足","○ OK"),"△ 利益薄い")))</f>
        <v/>
      </c>
    </row>
    <row r="12" customFormat="false" ht="15" hidden="false" customHeight="true" outlineLevel="0" collapsed="false">
      <c r="A12" s="22"/>
      <c r="B12" s="9"/>
      <c r="C12" s="38"/>
      <c r="D12" s="38"/>
      <c r="E12" s="9"/>
      <c r="F12" s="9"/>
      <c r="G12" s="28" t="str">
        <f aca="false">IF(B12="","",(C12+D12)*設定!$B$6*(1+設定!$B$7)+E12+F12)</f>
        <v/>
      </c>
      <c r="H12" s="28" t="str">
        <f aca="false">IF(B12="","",ROUND(G12*設定!$B$8+G12*(1+設定!$B$8)*設定!$B$9,0))</f>
        <v/>
      </c>
      <c r="I12" s="28" t="str">
        <f aca="false">IF(B12="","",ROUND(B12*設定!$B$10,0)+設定!$B$11+設定!$B$12)</f>
        <v/>
      </c>
      <c r="J12" s="39" t="str">
        <f aca="false">IF(B12="","",B12-G12-H12-I12)</f>
        <v/>
      </c>
      <c r="K12" s="40" t="str">
        <f aca="false">IF(B12="","",IFERROR(J12/B12,""))</f>
        <v/>
      </c>
      <c r="L12" s="40" t="str">
        <f aca="false">IF(B12="","",IFERROR(J12/(G12+H12),""))</f>
        <v/>
      </c>
      <c r="M12" s="28" t="str">
        <f aca="false">IF(B12="","",IF(J12&lt;=0,"赤字",ROUNDUP(設定!$B$3/J12,0)))</f>
        <v/>
      </c>
      <c r="N12" s="28" t="str">
        <f aca="false">IF(B12="","",IFERROR(ROUNDDOWN(設定!$B$4/(G12+H12),0),""))</f>
        <v/>
      </c>
      <c r="O12" s="9"/>
      <c r="P12" s="29" t="str">
        <f aca="false">IF(B12="","",IF(J12&lt;=0,"× 赤字",IF(AND(K12&gt;=設定!$B$22,J12&gt;=設定!$B$23),IF(AND(O12&lt;&gt;"",N12&lt;O12),"△ 予算不足","○ OK"),"△ 利益薄い")))</f>
        <v/>
      </c>
    </row>
    <row r="13" customFormat="false" ht="15" hidden="false" customHeight="true" outlineLevel="0" collapsed="false">
      <c r="A13" s="22"/>
      <c r="B13" s="9"/>
      <c r="C13" s="38"/>
      <c r="D13" s="38"/>
      <c r="E13" s="9"/>
      <c r="F13" s="9"/>
      <c r="G13" s="28" t="str">
        <f aca="false">IF(B13="","",(C13+D13)*設定!$B$6*(1+設定!$B$7)+E13+F13)</f>
        <v/>
      </c>
      <c r="H13" s="28" t="str">
        <f aca="false">IF(B13="","",ROUND(G13*設定!$B$8+G13*(1+設定!$B$8)*設定!$B$9,0))</f>
        <v/>
      </c>
      <c r="I13" s="28" t="str">
        <f aca="false">IF(B13="","",ROUND(B13*設定!$B$10,0)+設定!$B$11+設定!$B$12)</f>
        <v/>
      </c>
      <c r="J13" s="39" t="str">
        <f aca="false">IF(B13="","",B13-G13-H13-I13)</f>
        <v/>
      </c>
      <c r="K13" s="40" t="str">
        <f aca="false">IF(B13="","",IFERROR(J13/B13,""))</f>
        <v/>
      </c>
      <c r="L13" s="40" t="str">
        <f aca="false">IF(B13="","",IFERROR(J13/(G13+H13),""))</f>
        <v/>
      </c>
      <c r="M13" s="28" t="str">
        <f aca="false">IF(B13="","",IF(J13&lt;=0,"赤字",ROUNDUP(設定!$B$3/J13,0)))</f>
        <v/>
      </c>
      <c r="N13" s="28" t="str">
        <f aca="false">IF(B13="","",IFERROR(ROUNDDOWN(設定!$B$4/(G13+H13),0),""))</f>
        <v/>
      </c>
      <c r="O13" s="9"/>
      <c r="P13" s="29" t="str">
        <f aca="false">IF(B13="","",IF(J13&lt;=0,"× 赤字",IF(AND(K13&gt;=設定!$B$22,J13&gt;=設定!$B$23),IF(AND(O13&lt;&gt;"",N13&lt;O13),"△ 予算不足","○ OK"),"△ 利益薄い")))</f>
        <v/>
      </c>
    </row>
    <row r="14" customFormat="false" ht="15" hidden="false" customHeight="true" outlineLevel="0" collapsed="false">
      <c r="A14" s="22"/>
      <c r="B14" s="9"/>
      <c r="C14" s="38"/>
      <c r="D14" s="38"/>
      <c r="E14" s="9"/>
      <c r="F14" s="9"/>
      <c r="G14" s="28" t="str">
        <f aca="false">IF(B14="","",(C14+D14)*設定!$B$6*(1+設定!$B$7)+E14+F14)</f>
        <v/>
      </c>
      <c r="H14" s="28" t="str">
        <f aca="false">IF(B14="","",ROUND(G14*設定!$B$8+G14*(1+設定!$B$8)*設定!$B$9,0))</f>
        <v/>
      </c>
      <c r="I14" s="28" t="str">
        <f aca="false">IF(B14="","",ROUND(B14*設定!$B$10,0)+設定!$B$11+設定!$B$12)</f>
        <v/>
      </c>
      <c r="J14" s="39" t="str">
        <f aca="false">IF(B14="","",B14-G14-H14-I14)</f>
        <v/>
      </c>
      <c r="K14" s="40" t="str">
        <f aca="false">IF(B14="","",IFERROR(J14/B14,""))</f>
        <v/>
      </c>
      <c r="L14" s="40" t="str">
        <f aca="false">IF(B14="","",IFERROR(J14/(G14+H14),""))</f>
        <v/>
      </c>
      <c r="M14" s="28" t="str">
        <f aca="false">IF(B14="","",IF(J14&lt;=0,"赤字",ROUNDUP(設定!$B$3/J14,0)))</f>
        <v/>
      </c>
      <c r="N14" s="28" t="str">
        <f aca="false">IF(B14="","",IFERROR(ROUNDDOWN(設定!$B$4/(G14+H14),0),""))</f>
        <v/>
      </c>
      <c r="O14" s="9"/>
      <c r="P14" s="29" t="str">
        <f aca="false">IF(B14="","",IF(J14&lt;=0,"× 赤字",IF(AND(K14&gt;=設定!$B$22,J14&gt;=設定!$B$23),IF(AND(O14&lt;&gt;"",N14&lt;O14),"△ 予算不足","○ OK"),"△ 利益薄い")))</f>
        <v/>
      </c>
    </row>
    <row r="15" customFormat="false" ht="15" hidden="false" customHeight="true" outlineLevel="0" collapsed="false">
      <c r="A15" s="22"/>
      <c r="B15" s="9"/>
      <c r="C15" s="38"/>
      <c r="D15" s="38"/>
      <c r="E15" s="9"/>
      <c r="F15" s="9"/>
      <c r="G15" s="28" t="str">
        <f aca="false">IF(B15="","",(C15+D15)*設定!$B$6*(1+設定!$B$7)+E15+F15)</f>
        <v/>
      </c>
      <c r="H15" s="28" t="str">
        <f aca="false">IF(B15="","",ROUND(G15*設定!$B$8+G15*(1+設定!$B$8)*設定!$B$9,0))</f>
        <v/>
      </c>
      <c r="I15" s="28" t="str">
        <f aca="false">IF(B15="","",ROUND(B15*設定!$B$10,0)+設定!$B$11+設定!$B$12)</f>
        <v/>
      </c>
      <c r="J15" s="39" t="str">
        <f aca="false">IF(B15="","",B15-G15-H15-I15)</f>
        <v/>
      </c>
      <c r="K15" s="40" t="str">
        <f aca="false">IF(B15="","",IFERROR(J15/B15,""))</f>
        <v/>
      </c>
      <c r="L15" s="40" t="str">
        <f aca="false">IF(B15="","",IFERROR(J15/(G15+H15),""))</f>
        <v/>
      </c>
      <c r="M15" s="28" t="str">
        <f aca="false">IF(B15="","",IF(J15&lt;=0,"赤字",ROUNDUP(設定!$B$3/J15,0)))</f>
        <v/>
      </c>
      <c r="N15" s="28" t="str">
        <f aca="false">IF(B15="","",IFERROR(ROUNDDOWN(設定!$B$4/(G15+H15),0),""))</f>
        <v/>
      </c>
      <c r="O15" s="9"/>
      <c r="P15" s="29" t="str">
        <f aca="false">IF(B15="","",IF(J15&lt;=0,"× 赤字",IF(AND(K15&gt;=設定!$B$22,J15&gt;=設定!$B$23),IF(AND(O15&lt;&gt;"",N15&lt;O15),"△ 予算不足","○ OK"),"△ 利益薄い")))</f>
        <v/>
      </c>
    </row>
    <row r="16" customFormat="false" ht="15" hidden="false" customHeight="true" outlineLevel="0" collapsed="false">
      <c r="A16" s="22"/>
      <c r="B16" s="9"/>
      <c r="C16" s="38"/>
      <c r="D16" s="38"/>
      <c r="E16" s="9"/>
      <c r="F16" s="9"/>
      <c r="G16" s="28" t="str">
        <f aca="false">IF(B16="","",(C16+D16)*設定!$B$6*(1+設定!$B$7)+E16+F16)</f>
        <v/>
      </c>
      <c r="H16" s="28" t="str">
        <f aca="false">IF(B16="","",ROUND(G16*設定!$B$8+G16*(1+設定!$B$8)*設定!$B$9,0))</f>
        <v/>
      </c>
      <c r="I16" s="28" t="str">
        <f aca="false">IF(B16="","",ROUND(B16*設定!$B$10,0)+設定!$B$11+設定!$B$12)</f>
        <v/>
      </c>
      <c r="J16" s="39" t="str">
        <f aca="false">IF(B16="","",B16-G16-H16-I16)</f>
        <v/>
      </c>
      <c r="K16" s="40" t="str">
        <f aca="false">IF(B16="","",IFERROR(J16/B16,""))</f>
        <v/>
      </c>
      <c r="L16" s="40" t="str">
        <f aca="false">IF(B16="","",IFERROR(J16/(G16+H16),""))</f>
        <v/>
      </c>
      <c r="M16" s="28" t="str">
        <f aca="false">IF(B16="","",IF(J16&lt;=0,"赤字",ROUNDUP(設定!$B$3/J16,0)))</f>
        <v/>
      </c>
      <c r="N16" s="28" t="str">
        <f aca="false">IF(B16="","",IFERROR(ROUNDDOWN(設定!$B$4/(G16+H16),0),""))</f>
        <v/>
      </c>
      <c r="O16" s="9"/>
      <c r="P16" s="29" t="str">
        <f aca="false">IF(B16="","",IF(J16&lt;=0,"× 赤字",IF(AND(K16&gt;=設定!$B$22,J16&gt;=設定!$B$23),IF(AND(O16&lt;&gt;"",N16&lt;O16),"△ 予算不足","○ OK"),"△ 利益薄い")))</f>
        <v/>
      </c>
    </row>
    <row r="17" customFormat="false" ht="15" hidden="false" customHeight="true" outlineLevel="0" collapsed="false">
      <c r="A17" s="22"/>
      <c r="B17" s="9"/>
      <c r="C17" s="38"/>
      <c r="D17" s="38"/>
      <c r="E17" s="9"/>
      <c r="F17" s="9"/>
      <c r="G17" s="28" t="str">
        <f aca="false">IF(B17="","",(C17+D17)*設定!$B$6*(1+設定!$B$7)+E17+F17)</f>
        <v/>
      </c>
      <c r="H17" s="28" t="str">
        <f aca="false">IF(B17="","",ROUND(G17*設定!$B$8+G17*(1+設定!$B$8)*設定!$B$9,0))</f>
        <v/>
      </c>
      <c r="I17" s="28" t="str">
        <f aca="false">IF(B17="","",ROUND(B17*設定!$B$10,0)+設定!$B$11+設定!$B$12)</f>
        <v/>
      </c>
      <c r="J17" s="39" t="str">
        <f aca="false">IF(B17="","",B17-G17-H17-I17)</f>
        <v/>
      </c>
      <c r="K17" s="40" t="str">
        <f aca="false">IF(B17="","",IFERROR(J17/B17,""))</f>
        <v/>
      </c>
      <c r="L17" s="40" t="str">
        <f aca="false">IF(B17="","",IFERROR(J17/(G17+H17),""))</f>
        <v/>
      </c>
      <c r="M17" s="28" t="str">
        <f aca="false">IF(B17="","",IF(J17&lt;=0,"赤字",ROUNDUP(設定!$B$3/J17,0)))</f>
        <v/>
      </c>
      <c r="N17" s="28" t="str">
        <f aca="false">IF(B17="","",IFERROR(ROUNDDOWN(設定!$B$4/(G17+H17),0),""))</f>
        <v/>
      </c>
      <c r="O17" s="9"/>
      <c r="P17" s="29" t="str">
        <f aca="false">IF(B17="","",IF(J17&lt;=0,"× 赤字",IF(AND(K17&gt;=設定!$B$22,J17&gt;=設定!$B$23),IF(AND(O17&lt;&gt;"",N17&lt;O17),"△ 予算不足","○ OK"),"△ 利益薄い")))</f>
        <v/>
      </c>
    </row>
    <row r="18" customFormat="false" ht="15" hidden="false" customHeight="true" outlineLevel="0" collapsed="false">
      <c r="A18" s="22"/>
      <c r="B18" s="9"/>
      <c r="C18" s="38"/>
      <c r="D18" s="38"/>
      <c r="E18" s="9"/>
      <c r="F18" s="9"/>
      <c r="G18" s="28" t="str">
        <f aca="false">IF(B18="","",(C18+D18)*設定!$B$6*(1+設定!$B$7)+E18+F18)</f>
        <v/>
      </c>
      <c r="H18" s="28" t="str">
        <f aca="false">IF(B18="","",ROUND(G18*設定!$B$8+G18*(1+設定!$B$8)*設定!$B$9,0))</f>
        <v/>
      </c>
      <c r="I18" s="28" t="str">
        <f aca="false">IF(B18="","",ROUND(B18*設定!$B$10,0)+設定!$B$11+設定!$B$12)</f>
        <v/>
      </c>
      <c r="J18" s="39" t="str">
        <f aca="false">IF(B18="","",B18-G18-H18-I18)</f>
        <v/>
      </c>
      <c r="K18" s="40" t="str">
        <f aca="false">IF(B18="","",IFERROR(J18/B18,""))</f>
        <v/>
      </c>
      <c r="L18" s="40" t="str">
        <f aca="false">IF(B18="","",IFERROR(J18/(G18+H18),""))</f>
        <v/>
      </c>
      <c r="M18" s="28" t="str">
        <f aca="false">IF(B18="","",IF(J18&lt;=0,"赤字",ROUNDUP(設定!$B$3/J18,0)))</f>
        <v/>
      </c>
      <c r="N18" s="28" t="str">
        <f aca="false">IF(B18="","",IFERROR(ROUNDDOWN(設定!$B$4/(G18+H18),0),""))</f>
        <v/>
      </c>
      <c r="O18" s="9"/>
      <c r="P18" s="29" t="str">
        <f aca="false">IF(B18="","",IF(J18&lt;=0,"× 赤字",IF(AND(K18&gt;=設定!$B$22,J18&gt;=設定!$B$23),IF(AND(O18&lt;&gt;"",N18&lt;O18),"△ 予算不足","○ OK"),"△ 利益薄い")))</f>
        <v/>
      </c>
    </row>
    <row r="19" customFormat="false" ht="15" hidden="false" customHeight="true" outlineLevel="0" collapsed="false">
      <c r="A19" s="22"/>
      <c r="B19" s="9"/>
      <c r="C19" s="38"/>
      <c r="D19" s="38"/>
      <c r="E19" s="9"/>
      <c r="F19" s="9"/>
      <c r="G19" s="28" t="str">
        <f aca="false">IF(B19="","",(C19+D19)*設定!$B$6*(1+設定!$B$7)+E19+F19)</f>
        <v/>
      </c>
      <c r="H19" s="28" t="str">
        <f aca="false">IF(B19="","",ROUND(G19*設定!$B$8+G19*(1+設定!$B$8)*設定!$B$9,0))</f>
        <v/>
      </c>
      <c r="I19" s="28" t="str">
        <f aca="false">IF(B19="","",ROUND(B19*設定!$B$10,0)+設定!$B$11+設定!$B$12)</f>
        <v/>
      </c>
      <c r="J19" s="39" t="str">
        <f aca="false">IF(B19="","",B19-G19-H19-I19)</f>
        <v/>
      </c>
      <c r="K19" s="40" t="str">
        <f aca="false">IF(B19="","",IFERROR(J19/B19,""))</f>
        <v/>
      </c>
      <c r="L19" s="40" t="str">
        <f aca="false">IF(B19="","",IFERROR(J19/(G19+H19),""))</f>
        <v/>
      </c>
      <c r="M19" s="28" t="str">
        <f aca="false">IF(B19="","",IF(J19&lt;=0,"赤字",ROUNDUP(設定!$B$3/J19,0)))</f>
        <v/>
      </c>
      <c r="N19" s="28" t="str">
        <f aca="false">IF(B19="","",IFERROR(ROUNDDOWN(設定!$B$4/(G19+H19),0),""))</f>
        <v/>
      </c>
      <c r="O19" s="9"/>
      <c r="P19" s="29" t="str">
        <f aca="false">IF(B19="","",IF(J19&lt;=0,"× 赤字",IF(AND(K19&gt;=設定!$B$22,J19&gt;=設定!$B$23),IF(AND(O19&lt;&gt;"",N19&lt;O19),"△ 予算不足","○ OK"),"△ 利益薄い")))</f>
        <v/>
      </c>
    </row>
    <row r="20" customFormat="false" ht="15" hidden="false" customHeight="true" outlineLevel="0" collapsed="false">
      <c r="A20" s="22"/>
      <c r="B20" s="9"/>
      <c r="C20" s="38"/>
      <c r="D20" s="38"/>
      <c r="E20" s="9"/>
      <c r="F20" s="9"/>
      <c r="G20" s="28" t="str">
        <f aca="false">IF(B20="","",(C20+D20)*設定!$B$6*(1+設定!$B$7)+E20+F20)</f>
        <v/>
      </c>
      <c r="H20" s="28" t="str">
        <f aca="false">IF(B20="","",ROUND(G20*設定!$B$8+G20*(1+設定!$B$8)*設定!$B$9,0))</f>
        <v/>
      </c>
      <c r="I20" s="28" t="str">
        <f aca="false">IF(B20="","",ROUND(B20*設定!$B$10,0)+設定!$B$11+設定!$B$12)</f>
        <v/>
      </c>
      <c r="J20" s="39" t="str">
        <f aca="false">IF(B20="","",B20-G20-H20-I20)</f>
        <v/>
      </c>
      <c r="K20" s="40" t="str">
        <f aca="false">IF(B20="","",IFERROR(J20/B20,""))</f>
        <v/>
      </c>
      <c r="L20" s="40" t="str">
        <f aca="false">IF(B20="","",IFERROR(J20/(G20+H20),""))</f>
        <v/>
      </c>
      <c r="M20" s="28" t="str">
        <f aca="false">IF(B20="","",IF(J20&lt;=0,"赤字",ROUNDUP(設定!$B$3/J20,0)))</f>
        <v/>
      </c>
      <c r="N20" s="28" t="str">
        <f aca="false">IF(B20="","",IFERROR(ROUNDDOWN(設定!$B$4/(G20+H20),0),""))</f>
        <v/>
      </c>
      <c r="O20" s="9"/>
      <c r="P20" s="29" t="str">
        <f aca="false">IF(B20="","",IF(J20&lt;=0,"× 赤字",IF(AND(K20&gt;=設定!$B$22,J20&gt;=設定!$B$23),IF(AND(O20&lt;&gt;"",N20&lt;O20),"△ 予算不足","○ OK"),"△ 利益薄い")))</f>
        <v/>
      </c>
    </row>
    <row r="21" customFormat="false" ht="15" hidden="false" customHeight="true" outlineLevel="0" collapsed="false">
      <c r="A21" s="22"/>
      <c r="B21" s="9"/>
      <c r="C21" s="38"/>
      <c r="D21" s="38"/>
      <c r="E21" s="9"/>
      <c r="F21" s="9"/>
      <c r="G21" s="28" t="str">
        <f aca="false">IF(B21="","",(C21+D21)*設定!$B$6*(1+設定!$B$7)+E21+F21)</f>
        <v/>
      </c>
      <c r="H21" s="28" t="str">
        <f aca="false">IF(B21="","",ROUND(G21*設定!$B$8+G21*(1+設定!$B$8)*設定!$B$9,0))</f>
        <v/>
      </c>
      <c r="I21" s="28" t="str">
        <f aca="false">IF(B21="","",ROUND(B21*設定!$B$10,0)+設定!$B$11+設定!$B$12)</f>
        <v/>
      </c>
      <c r="J21" s="39" t="str">
        <f aca="false">IF(B21="","",B21-G21-H21-I21)</f>
        <v/>
      </c>
      <c r="K21" s="40" t="str">
        <f aca="false">IF(B21="","",IFERROR(J21/B21,""))</f>
        <v/>
      </c>
      <c r="L21" s="40" t="str">
        <f aca="false">IF(B21="","",IFERROR(J21/(G21+H21),""))</f>
        <v/>
      </c>
      <c r="M21" s="28" t="str">
        <f aca="false">IF(B21="","",IF(J21&lt;=0,"赤字",ROUNDUP(設定!$B$3/J21,0)))</f>
        <v/>
      </c>
      <c r="N21" s="28" t="str">
        <f aca="false">IF(B21="","",IFERROR(ROUNDDOWN(設定!$B$4/(G21+H21),0),""))</f>
        <v/>
      </c>
      <c r="O21" s="9"/>
      <c r="P21" s="29" t="str">
        <f aca="false">IF(B21="","",IF(J21&lt;=0,"× 赤字",IF(AND(K21&gt;=設定!$B$22,J21&gt;=設定!$B$23),IF(AND(O21&lt;&gt;"",N21&lt;O21),"△ 予算不足","○ OK"),"△ 利益薄い")))</f>
        <v/>
      </c>
    </row>
    <row r="22" customFormat="false" ht="15" hidden="false" customHeight="true" outlineLevel="0" collapsed="false">
      <c r="A22" s="22"/>
      <c r="B22" s="9"/>
      <c r="C22" s="38"/>
      <c r="D22" s="38"/>
      <c r="E22" s="9"/>
      <c r="F22" s="9"/>
      <c r="G22" s="28" t="str">
        <f aca="false">IF(B22="","",(C22+D22)*設定!$B$6*(1+設定!$B$7)+E22+F22)</f>
        <v/>
      </c>
      <c r="H22" s="28" t="str">
        <f aca="false">IF(B22="","",ROUND(G22*設定!$B$8+G22*(1+設定!$B$8)*設定!$B$9,0))</f>
        <v/>
      </c>
      <c r="I22" s="28" t="str">
        <f aca="false">IF(B22="","",ROUND(B22*設定!$B$10,0)+設定!$B$11+設定!$B$12)</f>
        <v/>
      </c>
      <c r="J22" s="39" t="str">
        <f aca="false">IF(B22="","",B22-G22-H22-I22)</f>
        <v/>
      </c>
      <c r="K22" s="40" t="str">
        <f aca="false">IF(B22="","",IFERROR(J22/B22,""))</f>
        <v/>
      </c>
      <c r="L22" s="40" t="str">
        <f aca="false">IF(B22="","",IFERROR(J22/(G22+H22),""))</f>
        <v/>
      </c>
      <c r="M22" s="28" t="str">
        <f aca="false">IF(B22="","",IF(J22&lt;=0,"赤字",ROUNDUP(設定!$B$3/J22,0)))</f>
        <v/>
      </c>
      <c r="N22" s="28" t="str">
        <f aca="false">IF(B22="","",IFERROR(ROUNDDOWN(設定!$B$4/(G22+H22),0),""))</f>
        <v/>
      </c>
      <c r="O22" s="9"/>
      <c r="P22" s="29" t="str">
        <f aca="false">IF(B22="","",IF(J22&lt;=0,"× 赤字",IF(AND(K22&gt;=設定!$B$22,J22&gt;=設定!$B$23),IF(AND(O22&lt;&gt;"",N22&lt;O22),"△ 予算不足","○ OK"),"△ 利益薄い")))</f>
        <v/>
      </c>
    </row>
    <row r="23" customFormat="false" ht="15" hidden="false" customHeight="true" outlineLevel="0" collapsed="false">
      <c r="A23" s="22"/>
      <c r="B23" s="9"/>
      <c r="C23" s="38"/>
      <c r="D23" s="38"/>
      <c r="E23" s="9"/>
      <c r="F23" s="9"/>
      <c r="G23" s="28" t="str">
        <f aca="false">IF(B23="","",(C23+D23)*設定!$B$6*(1+設定!$B$7)+E23+F23)</f>
        <v/>
      </c>
      <c r="H23" s="28" t="str">
        <f aca="false">IF(B23="","",ROUND(G23*設定!$B$8+G23*(1+設定!$B$8)*設定!$B$9,0))</f>
        <v/>
      </c>
      <c r="I23" s="28" t="str">
        <f aca="false">IF(B23="","",ROUND(B23*設定!$B$10,0)+設定!$B$11+設定!$B$12)</f>
        <v/>
      </c>
      <c r="J23" s="39" t="str">
        <f aca="false">IF(B23="","",B23-G23-H23-I23)</f>
        <v/>
      </c>
      <c r="K23" s="40" t="str">
        <f aca="false">IF(B23="","",IFERROR(J23/B23,""))</f>
        <v/>
      </c>
      <c r="L23" s="40" t="str">
        <f aca="false">IF(B23="","",IFERROR(J23/(G23+H23),""))</f>
        <v/>
      </c>
      <c r="M23" s="28" t="str">
        <f aca="false">IF(B23="","",IF(J23&lt;=0,"赤字",ROUNDUP(設定!$B$3/J23,0)))</f>
        <v/>
      </c>
      <c r="N23" s="28" t="str">
        <f aca="false">IF(B23="","",IFERROR(ROUNDDOWN(設定!$B$4/(G23+H23),0),""))</f>
        <v/>
      </c>
      <c r="O23" s="9"/>
      <c r="P23" s="29" t="str">
        <f aca="false">IF(B23="","",IF(J23&lt;=0,"× 赤字",IF(AND(K23&gt;=設定!$B$22,J23&gt;=設定!$B$23),IF(AND(O23&lt;&gt;"",N23&lt;O23),"△ 予算不足","○ OK"),"△ 利益薄い")))</f>
        <v/>
      </c>
    </row>
    <row r="24" customFormat="false" ht="15" hidden="false" customHeight="true" outlineLevel="0" collapsed="false">
      <c r="A24" s="22"/>
      <c r="B24" s="9"/>
      <c r="C24" s="38"/>
      <c r="D24" s="38"/>
      <c r="E24" s="9"/>
      <c r="F24" s="9"/>
      <c r="G24" s="28" t="str">
        <f aca="false">IF(B24="","",(C24+D24)*設定!$B$6*(1+設定!$B$7)+E24+F24)</f>
        <v/>
      </c>
      <c r="H24" s="28" t="str">
        <f aca="false">IF(B24="","",ROUND(G24*設定!$B$8+G24*(1+設定!$B$8)*設定!$B$9,0))</f>
        <v/>
      </c>
      <c r="I24" s="28" t="str">
        <f aca="false">IF(B24="","",ROUND(B24*設定!$B$10,0)+設定!$B$11+設定!$B$12)</f>
        <v/>
      </c>
      <c r="J24" s="39" t="str">
        <f aca="false">IF(B24="","",B24-G24-H24-I24)</f>
        <v/>
      </c>
      <c r="K24" s="40" t="str">
        <f aca="false">IF(B24="","",IFERROR(J24/B24,""))</f>
        <v/>
      </c>
      <c r="L24" s="40" t="str">
        <f aca="false">IF(B24="","",IFERROR(J24/(G24+H24),""))</f>
        <v/>
      </c>
      <c r="M24" s="28" t="str">
        <f aca="false">IF(B24="","",IF(J24&lt;=0,"赤字",ROUNDUP(設定!$B$3/J24,0)))</f>
        <v/>
      </c>
      <c r="N24" s="28" t="str">
        <f aca="false">IF(B24="","",IFERROR(ROUNDDOWN(設定!$B$4/(G24+H24),0),""))</f>
        <v/>
      </c>
      <c r="O24" s="9"/>
      <c r="P24" s="29" t="str">
        <f aca="false">IF(B24="","",IF(J24&lt;=0,"× 赤字",IF(AND(K24&gt;=設定!$B$22,J24&gt;=設定!$B$23),IF(AND(O24&lt;&gt;"",N24&lt;O24),"△ 予算不足","○ OK"),"△ 利益薄い")))</f>
        <v/>
      </c>
    </row>
    <row r="25" customFormat="false" ht="15" hidden="false" customHeight="true" outlineLevel="0" collapsed="false">
      <c r="A25" s="22"/>
      <c r="B25" s="9"/>
      <c r="C25" s="38"/>
      <c r="D25" s="38"/>
      <c r="E25" s="9"/>
      <c r="F25" s="9"/>
      <c r="G25" s="28" t="str">
        <f aca="false">IF(B25="","",(C25+D25)*設定!$B$6*(1+設定!$B$7)+E25+F25)</f>
        <v/>
      </c>
      <c r="H25" s="28" t="str">
        <f aca="false">IF(B25="","",ROUND(G25*設定!$B$8+G25*(1+設定!$B$8)*設定!$B$9,0))</f>
        <v/>
      </c>
      <c r="I25" s="28" t="str">
        <f aca="false">IF(B25="","",ROUND(B25*設定!$B$10,0)+設定!$B$11+設定!$B$12)</f>
        <v/>
      </c>
      <c r="J25" s="39" t="str">
        <f aca="false">IF(B25="","",B25-G25-H25-I25)</f>
        <v/>
      </c>
      <c r="K25" s="40" t="str">
        <f aca="false">IF(B25="","",IFERROR(J25/B25,""))</f>
        <v/>
      </c>
      <c r="L25" s="40" t="str">
        <f aca="false">IF(B25="","",IFERROR(J25/(G25+H25),""))</f>
        <v/>
      </c>
      <c r="M25" s="28" t="str">
        <f aca="false">IF(B25="","",IF(J25&lt;=0,"赤字",ROUNDUP(設定!$B$3/J25,0)))</f>
        <v/>
      </c>
      <c r="N25" s="28" t="str">
        <f aca="false">IF(B25="","",IFERROR(ROUNDDOWN(設定!$B$4/(G25+H25),0),""))</f>
        <v/>
      </c>
      <c r="O25" s="9"/>
      <c r="P25" s="29" t="str">
        <f aca="false">IF(B25="","",IF(J25&lt;=0,"× 赤字",IF(AND(K25&gt;=設定!$B$22,J25&gt;=設定!$B$23),IF(AND(O25&lt;&gt;"",N25&lt;O25),"△ 予算不足","○ OK"),"△ 利益薄い")))</f>
        <v/>
      </c>
    </row>
    <row r="26" customFormat="false" ht="15" hidden="false" customHeight="true" outlineLevel="0" collapsed="false">
      <c r="A26" s="22"/>
      <c r="B26" s="9"/>
      <c r="C26" s="38"/>
      <c r="D26" s="38"/>
      <c r="E26" s="9"/>
      <c r="F26" s="9"/>
      <c r="G26" s="28" t="str">
        <f aca="false">IF(B26="","",(C26+D26)*設定!$B$6*(1+設定!$B$7)+E26+F26)</f>
        <v/>
      </c>
      <c r="H26" s="28" t="str">
        <f aca="false">IF(B26="","",ROUND(G26*設定!$B$8+G26*(1+設定!$B$8)*設定!$B$9,0))</f>
        <v/>
      </c>
      <c r="I26" s="28" t="str">
        <f aca="false">IF(B26="","",ROUND(B26*設定!$B$10,0)+設定!$B$11+設定!$B$12)</f>
        <v/>
      </c>
      <c r="J26" s="39" t="str">
        <f aca="false">IF(B26="","",B26-G26-H26-I26)</f>
        <v/>
      </c>
      <c r="K26" s="40" t="str">
        <f aca="false">IF(B26="","",IFERROR(J26/B26,""))</f>
        <v/>
      </c>
      <c r="L26" s="40" t="str">
        <f aca="false">IF(B26="","",IFERROR(J26/(G26+H26),""))</f>
        <v/>
      </c>
      <c r="M26" s="28" t="str">
        <f aca="false">IF(B26="","",IF(J26&lt;=0,"赤字",ROUNDUP(設定!$B$3/J26,0)))</f>
        <v/>
      </c>
      <c r="N26" s="28" t="str">
        <f aca="false">IF(B26="","",IFERROR(ROUNDDOWN(設定!$B$4/(G26+H26),0),""))</f>
        <v/>
      </c>
      <c r="O26" s="9"/>
      <c r="P26" s="29" t="str">
        <f aca="false">IF(B26="","",IF(J26&lt;=0,"× 赤字",IF(AND(K26&gt;=設定!$B$22,J26&gt;=設定!$B$23),IF(AND(O26&lt;&gt;"",N26&lt;O26),"△ 予算不足","○ OK"),"△ 利益薄い")))</f>
        <v/>
      </c>
    </row>
    <row r="27" customFormat="false" ht="15" hidden="false" customHeight="true" outlineLevel="0" collapsed="false">
      <c r="A27" s="22"/>
      <c r="B27" s="9"/>
      <c r="C27" s="38"/>
      <c r="D27" s="38"/>
      <c r="E27" s="9"/>
      <c r="F27" s="9"/>
      <c r="G27" s="28" t="str">
        <f aca="false">IF(B27="","",(C27+D27)*設定!$B$6*(1+設定!$B$7)+E27+F27)</f>
        <v/>
      </c>
      <c r="H27" s="28" t="str">
        <f aca="false">IF(B27="","",ROUND(G27*設定!$B$8+G27*(1+設定!$B$8)*設定!$B$9,0))</f>
        <v/>
      </c>
      <c r="I27" s="28" t="str">
        <f aca="false">IF(B27="","",ROUND(B27*設定!$B$10,0)+設定!$B$11+設定!$B$12)</f>
        <v/>
      </c>
      <c r="J27" s="39" t="str">
        <f aca="false">IF(B27="","",B27-G27-H27-I27)</f>
        <v/>
      </c>
      <c r="K27" s="40" t="str">
        <f aca="false">IF(B27="","",IFERROR(J27/B27,""))</f>
        <v/>
      </c>
      <c r="L27" s="40" t="str">
        <f aca="false">IF(B27="","",IFERROR(J27/(G27+H27),""))</f>
        <v/>
      </c>
      <c r="M27" s="28" t="str">
        <f aca="false">IF(B27="","",IF(J27&lt;=0,"赤字",ROUNDUP(設定!$B$3/J27,0)))</f>
        <v/>
      </c>
      <c r="N27" s="28" t="str">
        <f aca="false">IF(B27="","",IFERROR(ROUNDDOWN(設定!$B$4/(G27+H27),0),""))</f>
        <v/>
      </c>
      <c r="O27" s="9"/>
      <c r="P27" s="29" t="str">
        <f aca="false">IF(B27="","",IF(J27&lt;=0,"× 赤字",IF(AND(K27&gt;=設定!$B$22,J27&gt;=設定!$B$23),IF(AND(O27&lt;&gt;"",N27&lt;O27),"△ 予算不足","○ OK"),"△ 利益薄い")))</f>
        <v/>
      </c>
    </row>
    <row r="28" customFormat="false" ht="15" hidden="false" customHeight="true" outlineLevel="0" collapsed="false">
      <c r="A28" s="22"/>
      <c r="B28" s="9"/>
      <c r="C28" s="38"/>
      <c r="D28" s="38"/>
      <c r="E28" s="9"/>
      <c r="F28" s="9"/>
      <c r="G28" s="28" t="str">
        <f aca="false">IF(B28="","",(C28+D28)*設定!$B$6*(1+設定!$B$7)+E28+F28)</f>
        <v/>
      </c>
      <c r="H28" s="28" t="str">
        <f aca="false">IF(B28="","",ROUND(G28*設定!$B$8+G28*(1+設定!$B$8)*設定!$B$9,0))</f>
        <v/>
      </c>
      <c r="I28" s="28" t="str">
        <f aca="false">IF(B28="","",ROUND(B28*設定!$B$10,0)+設定!$B$11+設定!$B$12)</f>
        <v/>
      </c>
      <c r="J28" s="39" t="str">
        <f aca="false">IF(B28="","",B28-G28-H28-I28)</f>
        <v/>
      </c>
      <c r="K28" s="40" t="str">
        <f aca="false">IF(B28="","",IFERROR(J28/B28,""))</f>
        <v/>
      </c>
      <c r="L28" s="40" t="str">
        <f aca="false">IF(B28="","",IFERROR(J28/(G28+H28),""))</f>
        <v/>
      </c>
      <c r="M28" s="28" t="str">
        <f aca="false">IF(B28="","",IF(J28&lt;=0,"赤字",ROUNDUP(設定!$B$3/J28,0)))</f>
        <v/>
      </c>
      <c r="N28" s="28" t="str">
        <f aca="false">IF(B28="","",IFERROR(ROUNDDOWN(設定!$B$4/(G28+H28),0),""))</f>
        <v/>
      </c>
      <c r="O28" s="9"/>
      <c r="P28" s="29" t="str">
        <f aca="false">IF(B28="","",IF(J28&lt;=0,"× 赤字",IF(AND(K28&gt;=設定!$B$22,J28&gt;=設定!$B$23),IF(AND(O28&lt;&gt;"",N28&lt;O28),"△ 予算不足","○ OK"),"△ 利益薄い")))</f>
        <v/>
      </c>
    </row>
    <row r="29" customFormat="false" ht="15" hidden="false" customHeight="true" outlineLevel="0" collapsed="false">
      <c r="A29" s="22"/>
      <c r="B29" s="9"/>
      <c r="C29" s="38"/>
      <c r="D29" s="38"/>
      <c r="E29" s="9"/>
      <c r="F29" s="9"/>
      <c r="G29" s="28" t="str">
        <f aca="false">IF(B29="","",(C29+D29)*設定!$B$6*(1+設定!$B$7)+E29+F29)</f>
        <v/>
      </c>
      <c r="H29" s="28" t="str">
        <f aca="false">IF(B29="","",ROUND(G29*設定!$B$8+G29*(1+設定!$B$8)*設定!$B$9,0))</f>
        <v/>
      </c>
      <c r="I29" s="28" t="str">
        <f aca="false">IF(B29="","",ROUND(B29*設定!$B$10,0)+設定!$B$11+設定!$B$12)</f>
        <v/>
      </c>
      <c r="J29" s="39" t="str">
        <f aca="false">IF(B29="","",B29-G29-H29-I29)</f>
        <v/>
      </c>
      <c r="K29" s="40" t="str">
        <f aca="false">IF(B29="","",IFERROR(J29/B29,""))</f>
        <v/>
      </c>
      <c r="L29" s="40" t="str">
        <f aca="false">IF(B29="","",IFERROR(J29/(G29+H29),""))</f>
        <v/>
      </c>
      <c r="M29" s="28" t="str">
        <f aca="false">IF(B29="","",IF(J29&lt;=0,"赤字",ROUNDUP(設定!$B$3/J29,0)))</f>
        <v/>
      </c>
      <c r="N29" s="28" t="str">
        <f aca="false">IF(B29="","",IFERROR(ROUNDDOWN(設定!$B$4/(G29+H29),0),""))</f>
        <v/>
      </c>
      <c r="O29" s="9"/>
      <c r="P29" s="29" t="str">
        <f aca="false">IF(B29="","",IF(J29&lt;=0,"× 赤字",IF(AND(K29&gt;=設定!$B$22,J29&gt;=設定!$B$23),IF(AND(O29&lt;&gt;"",N29&lt;O29),"△ 予算不足","○ OK"),"△ 利益薄い")))</f>
        <v/>
      </c>
    </row>
    <row r="30" customFormat="false" ht="15" hidden="false" customHeight="true" outlineLevel="0" collapsed="false">
      <c r="A30" s="22"/>
      <c r="B30" s="9"/>
      <c r="C30" s="38"/>
      <c r="D30" s="38"/>
      <c r="E30" s="9"/>
      <c r="F30" s="9"/>
      <c r="G30" s="28" t="str">
        <f aca="false">IF(B30="","",(C30+D30)*設定!$B$6*(1+設定!$B$7)+E30+F30)</f>
        <v/>
      </c>
      <c r="H30" s="28" t="str">
        <f aca="false">IF(B30="","",ROUND(G30*設定!$B$8+G30*(1+設定!$B$8)*設定!$B$9,0))</f>
        <v/>
      </c>
      <c r="I30" s="28" t="str">
        <f aca="false">IF(B30="","",ROUND(B30*設定!$B$10,0)+設定!$B$11+設定!$B$12)</f>
        <v/>
      </c>
      <c r="J30" s="39" t="str">
        <f aca="false">IF(B30="","",B30-G30-H30-I30)</f>
        <v/>
      </c>
      <c r="K30" s="40" t="str">
        <f aca="false">IF(B30="","",IFERROR(J30/B30,""))</f>
        <v/>
      </c>
      <c r="L30" s="40" t="str">
        <f aca="false">IF(B30="","",IFERROR(J30/(G30+H30),""))</f>
        <v/>
      </c>
      <c r="M30" s="28" t="str">
        <f aca="false">IF(B30="","",IF(J30&lt;=0,"赤字",ROUNDUP(設定!$B$3/J30,0)))</f>
        <v/>
      </c>
      <c r="N30" s="28" t="str">
        <f aca="false">IF(B30="","",IFERROR(ROUNDDOWN(設定!$B$4/(G30+H30),0),""))</f>
        <v/>
      </c>
      <c r="O30" s="9"/>
      <c r="P30" s="29" t="str">
        <f aca="false">IF(B30="","",IF(J30&lt;=0,"× 赤字",IF(AND(K30&gt;=設定!$B$22,J30&gt;=設定!$B$23),IF(AND(O30&lt;&gt;"",N30&lt;O30),"△ 予算不足","○ OK"),"△ 利益薄い")))</f>
        <v/>
      </c>
    </row>
    <row r="31" customFormat="false" ht="15" hidden="false" customHeight="true" outlineLevel="0" collapsed="false">
      <c r="A31" s="22"/>
      <c r="B31" s="9"/>
      <c r="C31" s="38"/>
      <c r="D31" s="38"/>
      <c r="E31" s="9"/>
      <c r="F31" s="9"/>
      <c r="G31" s="28" t="str">
        <f aca="false">IF(B31="","",(C31+D31)*設定!$B$6*(1+設定!$B$7)+E31+F31)</f>
        <v/>
      </c>
      <c r="H31" s="28" t="str">
        <f aca="false">IF(B31="","",ROUND(G31*設定!$B$8+G31*(1+設定!$B$8)*設定!$B$9,0))</f>
        <v/>
      </c>
      <c r="I31" s="28" t="str">
        <f aca="false">IF(B31="","",ROUND(B31*設定!$B$10,0)+設定!$B$11+設定!$B$12)</f>
        <v/>
      </c>
      <c r="J31" s="39" t="str">
        <f aca="false">IF(B31="","",B31-G31-H31-I31)</f>
        <v/>
      </c>
      <c r="K31" s="40" t="str">
        <f aca="false">IF(B31="","",IFERROR(J31/B31,""))</f>
        <v/>
      </c>
      <c r="L31" s="40" t="str">
        <f aca="false">IF(B31="","",IFERROR(J31/(G31+H31),""))</f>
        <v/>
      </c>
      <c r="M31" s="28" t="str">
        <f aca="false">IF(B31="","",IF(J31&lt;=0,"赤字",ROUNDUP(設定!$B$3/J31,0)))</f>
        <v/>
      </c>
      <c r="N31" s="28" t="str">
        <f aca="false">IF(B31="","",IFERROR(ROUNDDOWN(設定!$B$4/(G31+H31),0),""))</f>
        <v/>
      </c>
      <c r="O31" s="9"/>
      <c r="P31" s="29" t="str">
        <f aca="false">IF(B31="","",IF(J31&lt;=0,"× 赤字",IF(AND(K31&gt;=設定!$B$22,J31&gt;=設定!$B$23),IF(AND(O31&lt;&gt;"",N31&lt;O31),"△ 予算不足","○ OK"),"△ 利益薄い")))</f>
        <v/>
      </c>
    </row>
    <row r="32" customFormat="false" ht="15" hidden="false" customHeight="true" outlineLevel="0" collapsed="false">
      <c r="A32" s="22"/>
      <c r="B32" s="9"/>
      <c r="C32" s="38"/>
      <c r="D32" s="38"/>
      <c r="E32" s="9"/>
      <c r="F32" s="9"/>
      <c r="G32" s="28" t="str">
        <f aca="false">IF(B32="","",(C32+D32)*設定!$B$6*(1+設定!$B$7)+E32+F32)</f>
        <v/>
      </c>
      <c r="H32" s="28" t="str">
        <f aca="false">IF(B32="","",ROUND(G32*設定!$B$8+G32*(1+設定!$B$8)*設定!$B$9,0))</f>
        <v/>
      </c>
      <c r="I32" s="28" t="str">
        <f aca="false">IF(B32="","",ROUND(B32*設定!$B$10,0)+設定!$B$11+設定!$B$12)</f>
        <v/>
      </c>
      <c r="J32" s="39" t="str">
        <f aca="false">IF(B32="","",B32-G32-H32-I32)</f>
        <v/>
      </c>
      <c r="K32" s="40" t="str">
        <f aca="false">IF(B32="","",IFERROR(J32/B32,""))</f>
        <v/>
      </c>
      <c r="L32" s="40" t="str">
        <f aca="false">IF(B32="","",IFERROR(J32/(G32+H32),""))</f>
        <v/>
      </c>
      <c r="M32" s="28" t="str">
        <f aca="false">IF(B32="","",IF(J32&lt;=0,"赤字",ROUNDUP(設定!$B$3/J32,0)))</f>
        <v/>
      </c>
      <c r="N32" s="28" t="str">
        <f aca="false">IF(B32="","",IFERROR(ROUNDDOWN(設定!$B$4/(G32+H32),0),""))</f>
        <v/>
      </c>
      <c r="O32" s="9"/>
      <c r="P32" s="29" t="str">
        <f aca="false">IF(B32="","",IF(J32&lt;=0,"× 赤字",IF(AND(K32&gt;=設定!$B$22,J32&gt;=設定!$B$23),IF(AND(O32&lt;&gt;"",N32&lt;O32),"△ 予算不足","○ OK"),"△ 利益薄い")))</f>
        <v/>
      </c>
    </row>
    <row r="33" customFormat="false" ht="15" hidden="false" customHeight="true" outlineLevel="0" collapsed="false">
      <c r="A33" s="22"/>
      <c r="B33" s="9"/>
      <c r="C33" s="38"/>
      <c r="D33" s="38"/>
      <c r="E33" s="9"/>
      <c r="F33" s="9"/>
      <c r="G33" s="28" t="str">
        <f aca="false">IF(B33="","",(C33+D33)*設定!$B$6*(1+設定!$B$7)+E33+F33)</f>
        <v/>
      </c>
      <c r="H33" s="28" t="str">
        <f aca="false">IF(B33="","",ROUND(G33*設定!$B$8+G33*(1+設定!$B$8)*設定!$B$9,0))</f>
        <v/>
      </c>
      <c r="I33" s="28" t="str">
        <f aca="false">IF(B33="","",ROUND(B33*設定!$B$10,0)+設定!$B$11+設定!$B$12)</f>
        <v/>
      </c>
      <c r="J33" s="39" t="str">
        <f aca="false">IF(B33="","",B33-G33-H33-I33)</f>
        <v/>
      </c>
      <c r="K33" s="40" t="str">
        <f aca="false">IF(B33="","",IFERROR(J33/B33,""))</f>
        <v/>
      </c>
      <c r="L33" s="40" t="str">
        <f aca="false">IF(B33="","",IFERROR(J33/(G33+H33),""))</f>
        <v/>
      </c>
      <c r="M33" s="28" t="str">
        <f aca="false">IF(B33="","",IF(J33&lt;=0,"赤字",ROUNDUP(設定!$B$3/J33,0)))</f>
        <v/>
      </c>
      <c r="N33" s="28" t="str">
        <f aca="false">IF(B33="","",IFERROR(ROUNDDOWN(設定!$B$4/(G33+H33),0),""))</f>
        <v/>
      </c>
      <c r="O33" s="9"/>
      <c r="P33" s="29" t="str">
        <f aca="false">IF(B33="","",IF(J33&lt;=0,"× 赤字",IF(AND(K33&gt;=設定!$B$22,J33&gt;=設定!$B$23),IF(AND(O33&lt;&gt;"",N33&lt;O33),"△ 予算不足","○ OK"),"△ 利益薄い")))</f>
        <v/>
      </c>
    </row>
    <row r="34" customFormat="false" ht="15" hidden="false" customHeight="true" outlineLevel="0" collapsed="false">
      <c r="A34" s="22"/>
      <c r="B34" s="9"/>
      <c r="C34" s="38"/>
      <c r="D34" s="38"/>
      <c r="E34" s="9"/>
      <c r="F34" s="9"/>
      <c r="G34" s="28" t="str">
        <f aca="false">IF(B34="","",(C34+D34)*設定!$B$6*(1+設定!$B$7)+E34+F34)</f>
        <v/>
      </c>
      <c r="H34" s="28" t="str">
        <f aca="false">IF(B34="","",ROUND(G34*設定!$B$8+G34*(1+設定!$B$8)*設定!$B$9,0))</f>
        <v/>
      </c>
      <c r="I34" s="28" t="str">
        <f aca="false">IF(B34="","",ROUND(B34*設定!$B$10,0)+設定!$B$11+設定!$B$12)</f>
        <v/>
      </c>
      <c r="J34" s="39" t="str">
        <f aca="false">IF(B34="","",B34-G34-H34-I34)</f>
        <v/>
      </c>
      <c r="K34" s="40" t="str">
        <f aca="false">IF(B34="","",IFERROR(J34/B34,""))</f>
        <v/>
      </c>
      <c r="L34" s="40" t="str">
        <f aca="false">IF(B34="","",IFERROR(J34/(G34+H34),""))</f>
        <v/>
      </c>
      <c r="M34" s="28" t="str">
        <f aca="false">IF(B34="","",IF(J34&lt;=0,"赤字",ROUNDUP(設定!$B$3/J34,0)))</f>
        <v/>
      </c>
      <c r="N34" s="28" t="str">
        <f aca="false">IF(B34="","",IFERROR(ROUNDDOWN(設定!$B$4/(G34+H34),0),""))</f>
        <v/>
      </c>
      <c r="O34" s="9"/>
      <c r="P34" s="29" t="str">
        <f aca="false">IF(B34="","",IF(J34&lt;=0,"× 赤字",IF(AND(K34&gt;=設定!$B$22,J34&gt;=設定!$B$23),IF(AND(O34&lt;&gt;"",N34&lt;O34),"△ 予算不足","○ OK"),"△ 利益薄い")))</f>
        <v/>
      </c>
    </row>
    <row r="35" customFormat="false" ht="15" hidden="false" customHeight="true" outlineLevel="0" collapsed="false">
      <c r="A35" s="22"/>
      <c r="B35" s="9"/>
      <c r="C35" s="38"/>
      <c r="D35" s="38"/>
      <c r="E35" s="9"/>
      <c r="F35" s="9"/>
      <c r="G35" s="28" t="str">
        <f aca="false">IF(B35="","",(C35+D35)*設定!$B$6*(1+設定!$B$7)+E35+F35)</f>
        <v/>
      </c>
      <c r="H35" s="28" t="str">
        <f aca="false">IF(B35="","",ROUND(G35*設定!$B$8+G35*(1+設定!$B$8)*設定!$B$9,0))</f>
        <v/>
      </c>
      <c r="I35" s="28" t="str">
        <f aca="false">IF(B35="","",ROUND(B35*設定!$B$10,0)+設定!$B$11+設定!$B$12)</f>
        <v/>
      </c>
      <c r="J35" s="39" t="str">
        <f aca="false">IF(B35="","",B35-G35-H35-I35)</f>
        <v/>
      </c>
      <c r="K35" s="40" t="str">
        <f aca="false">IF(B35="","",IFERROR(J35/B35,""))</f>
        <v/>
      </c>
      <c r="L35" s="40" t="str">
        <f aca="false">IF(B35="","",IFERROR(J35/(G35+H35),""))</f>
        <v/>
      </c>
      <c r="M35" s="28" t="str">
        <f aca="false">IF(B35="","",IF(J35&lt;=0,"赤字",ROUNDUP(設定!$B$3/J35,0)))</f>
        <v/>
      </c>
      <c r="N35" s="28" t="str">
        <f aca="false">IF(B35="","",IFERROR(ROUNDDOWN(設定!$B$4/(G35+H35),0),""))</f>
        <v/>
      </c>
      <c r="O35" s="9"/>
      <c r="P35" s="29" t="str">
        <f aca="false">IF(B35="","",IF(J35&lt;=0,"× 赤字",IF(AND(K35&gt;=設定!$B$22,J35&gt;=設定!$B$23),IF(AND(O35&lt;&gt;"",N35&lt;O35),"△ 予算不足","○ OK"),"△ 利益薄い")))</f>
        <v/>
      </c>
    </row>
    <row r="36" customFormat="false" ht="15" hidden="false" customHeight="true" outlineLevel="0" collapsed="false">
      <c r="A36" s="22"/>
      <c r="B36" s="9"/>
      <c r="C36" s="38"/>
      <c r="D36" s="38"/>
      <c r="E36" s="9"/>
      <c r="F36" s="9"/>
      <c r="G36" s="28" t="str">
        <f aca="false">IF(B36="","",(C36+D36)*設定!$B$6*(1+設定!$B$7)+E36+F36)</f>
        <v/>
      </c>
      <c r="H36" s="28" t="str">
        <f aca="false">IF(B36="","",ROUND(G36*設定!$B$8+G36*(1+設定!$B$8)*設定!$B$9,0))</f>
        <v/>
      </c>
      <c r="I36" s="28" t="str">
        <f aca="false">IF(B36="","",ROUND(B36*設定!$B$10,0)+設定!$B$11+設定!$B$12)</f>
        <v/>
      </c>
      <c r="J36" s="39" t="str">
        <f aca="false">IF(B36="","",B36-G36-H36-I36)</f>
        <v/>
      </c>
      <c r="K36" s="40" t="str">
        <f aca="false">IF(B36="","",IFERROR(J36/B36,""))</f>
        <v/>
      </c>
      <c r="L36" s="40" t="str">
        <f aca="false">IF(B36="","",IFERROR(J36/(G36+H36),""))</f>
        <v/>
      </c>
      <c r="M36" s="28" t="str">
        <f aca="false">IF(B36="","",IF(J36&lt;=0,"赤字",ROUNDUP(設定!$B$3/J36,0)))</f>
        <v/>
      </c>
      <c r="N36" s="28" t="str">
        <f aca="false">IF(B36="","",IFERROR(ROUNDDOWN(設定!$B$4/(G36+H36),0),""))</f>
        <v/>
      </c>
      <c r="O36" s="9"/>
      <c r="P36" s="29" t="str">
        <f aca="false">IF(B36="","",IF(J36&lt;=0,"× 赤字",IF(AND(K36&gt;=設定!$B$22,J36&gt;=設定!$B$23),IF(AND(O36&lt;&gt;"",N36&lt;O36),"△ 予算不足","○ OK"),"△ 利益薄い")))</f>
        <v/>
      </c>
    </row>
    <row r="37" customFormat="false" ht="15" hidden="false" customHeight="true" outlineLevel="0" collapsed="false">
      <c r="A37" s="22"/>
      <c r="B37" s="9"/>
      <c r="C37" s="38"/>
      <c r="D37" s="38"/>
      <c r="E37" s="9"/>
      <c r="F37" s="9"/>
      <c r="G37" s="28" t="str">
        <f aca="false">IF(B37="","",(C37+D37)*設定!$B$6*(1+設定!$B$7)+E37+F37)</f>
        <v/>
      </c>
      <c r="H37" s="28" t="str">
        <f aca="false">IF(B37="","",ROUND(G37*設定!$B$8+G37*(1+設定!$B$8)*設定!$B$9,0))</f>
        <v/>
      </c>
      <c r="I37" s="28" t="str">
        <f aca="false">IF(B37="","",ROUND(B37*設定!$B$10,0)+設定!$B$11+設定!$B$12)</f>
        <v/>
      </c>
      <c r="J37" s="39" t="str">
        <f aca="false">IF(B37="","",B37-G37-H37-I37)</f>
        <v/>
      </c>
      <c r="K37" s="40" t="str">
        <f aca="false">IF(B37="","",IFERROR(J37/B37,""))</f>
        <v/>
      </c>
      <c r="L37" s="40" t="str">
        <f aca="false">IF(B37="","",IFERROR(J37/(G37+H37),""))</f>
        <v/>
      </c>
      <c r="M37" s="28" t="str">
        <f aca="false">IF(B37="","",IF(J37&lt;=0,"赤字",ROUNDUP(設定!$B$3/J37,0)))</f>
        <v/>
      </c>
      <c r="N37" s="28" t="str">
        <f aca="false">IF(B37="","",IFERROR(ROUNDDOWN(設定!$B$4/(G37+H37),0),""))</f>
        <v/>
      </c>
      <c r="O37" s="9"/>
      <c r="P37" s="29" t="str">
        <f aca="false">IF(B37="","",IF(J37&lt;=0,"× 赤字",IF(AND(K37&gt;=設定!$B$22,J37&gt;=設定!$B$23),IF(AND(O37&lt;&gt;"",N37&lt;O37),"△ 予算不足","○ OK"),"△ 利益薄い")))</f>
        <v/>
      </c>
    </row>
    <row r="38" customFormat="false" ht="15" hidden="false" customHeight="true" outlineLevel="0" collapsed="false">
      <c r="A38" s="22"/>
      <c r="B38" s="9"/>
      <c r="C38" s="38"/>
      <c r="D38" s="38"/>
      <c r="E38" s="9"/>
      <c r="F38" s="9"/>
      <c r="G38" s="28" t="str">
        <f aca="false">IF(B38="","",(C38+D38)*設定!$B$6*(1+設定!$B$7)+E38+F38)</f>
        <v/>
      </c>
      <c r="H38" s="28" t="str">
        <f aca="false">IF(B38="","",ROUND(G38*設定!$B$8+G38*(1+設定!$B$8)*設定!$B$9,0))</f>
        <v/>
      </c>
      <c r="I38" s="28" t="str">
        <f aca="false">IF(B38="","",ROUND(B38*設定!$B$10,0)+設定!$B$11+設定!$B$12)</f>
        <v/>
      </c>
      <c r="J38" s="39" t="str">
        <f aca="false">IF(B38="","",B38-G38-H38-I38)</f>
        <v/>
      </c>
      <c r="K38" s="40" t="str">
        <f aca="false">IF(B38="","",IFERROR(J38/B38,""))</f>
        <v/>
      </c>
      <c r="L38" s="40" t="str">
        <f aca="false">IF(B38="","",IFERROR(J38/(G38+H38),""))</f>
        <v/>
      </c>
      <c r="M38" s="28" t="str">
        <f aca="false">IF(B38="","",IF(J38&lt;=0,"赤字",ROUNDUP(設定!$B$3/J38,0)))</f>
        <v/>
      </c>
      <c r="N38" s="28" t="str">
        <f aca="false">IF(B38="","",IFERROR(ROUNDDOWN(設定!$B$4/(G38+H38),0),""))</f>
        <v/>
      </c>
      <c r="O38" s="9"/>
      <c r="P38" s="29" t="str">
        <f aca="false">IF(B38="","",IF(J38&lt;=0,"× 赤字",IF(AND(K38&gt;=設定!$B$22,J38&gt;=設定!$B$23),IF(AND(O38&lt;&gt;"",N38&lt;O38),"△ 予算不足","○ OK"),"△ 利益薄い")))</f>
        <v/>
      </c>
    </row>
    <row r="39" customFormat="false" ht="15" hidden="false" customHeight="true" outlineLevel="0" collapsed="false">
      <c r="A39" s="22"/>
      <c r="B39" s="9"/>
      <c r="C39" s="38"/>
      <c r="D39" s="38"/>
      <c r="E39" s="9"/>
      <c r="F39" s="9"/>
      <c r="G39" s="28" t="str">
        <f aca="false">IF(B39="","",(C39+D39)*設定!$B$6*(1+設定!$B$7)+E39+F39)</f>
        <v/>
      </c>
      <c r="H39" s="28" t="str">
        <f aca="false">IF(B39="","",ROUND(G39*設定!$B$8+G39*(1+設定!$B$8)*設定!$B$9,0))</f>
        <v/>
      </c>
      <c r="I39" s="28" t="str">
        <f aca="false">IF(B39="","",ROUND(B39*設定!$B$10,0)+設定!$B$11+設定!$B$12)</f>
        <v/>
      </c>
      <c r="J39" s="39" t="str">
        <f aca="false">IF(B39="","",B39-G39-H39-I39)</f>
        <v/>
      </c>
      <c r="K39" s="40" t="str">
        <f aca="false">IF(B39="","",IFERROR(J39/B39,""))</f>
        <v/>
      </c>
      <c r="L39" s="40" t="str">
        <f aca="false">IF(B39="","",IFERROR(J39/(G39+H39),""))</f>
        <v/>
      </c>
      <c r="M39" s="28" t="str">
        <f aca="false">IF(B39="","",IF(J39&lt;=0,"赤字",ROUNDUP(設定!$B$3/J39,0)))</f>
        <v/>
      </c>
      <c r="N39" s="28" t="str">
        <f aca="false">IF(B39="","",IFERROR(ROUNDDOWN(設定!$B$4/(G39+H39),0),""))</f>
        <v/>
      </c>
      <c r="O39" s="9"/>
      <c r="P39" s="29" t="str">
        <f aca="false">IF(B39="","",IF(J39&lt;=0,"× 赤字",IF(AND(K39&gt;=設定!$B$22,J39&gt;=設定!$B$23),IF(AND(O39&lt;&gt;"",N39&lt;O39),"△ 予算不足","○ OK"),"△ 利益薄い")))</f>
        <v/>
      </c>
    </row>
    <row r="40" customFormat="false" ht="15" hidden="false" customHeight="true" outlineLevel="0" collapsed="false">
      <c r="A40" s="22"/>
      <c r="B40" s="9"/>
      <c r="C40" s="38"/>
      <c r="D40" s="38"/>
      <c r="E40" s="9"/>
      <c r="F40" s="9"/>
      <c r="G40" s="28" t="str">
        <f aca="false">IF(B40="","",(C40+D40)*設定!$B$6*(1+設定!$B$7)+E40+F40)</f>
        <v/>
      </c>
      <c r="H40" s="28" t="str">
        <f aca="false">IF(B40="","",ROUND(G40*設定!$B$8+G40*(1+設定!$B$8)*設定!$B$9,0))</f>
        <v/>
      </c>
      <c r="I40" s="28" t="str">
        <f aca="false">IF(B40="","",ROUND(B40*設定!$B$10,0)+設定!$B$11+設定!$B$12)</f>
        <v/>
      </c>
      <c r="J40" s="39" t="str">
        <f aca="false">IF(B40="","",B40-G40-H40-I40)</f>
        <v/>
      </c>
      <c r="K40" s="40" t="str">
        <f aca="false">IF(B40="","",IFERROR(J40/B40,""))</f>
        <v/>
      </c>
      <c r="L40" s="40" t="str">
        <f aca="false">IF(B40="","",IFERROR(J40/(G40+H40),""))</f>
        <v/>
      </c>
      <c r="M40" s="28" t="str">
        <f aca="false">IF(B40="","",IF(J40&lt;=0,"赤字",ROUNDUP(設定!$B$3/J40,0)))</f>
        <v/>
      </c>
      <c r="N40" s="28" t="str">
        <f aca="false">IF(B40="","",IFERROR(ROUNDDOWN(設定!$B$4/(G40+H40),0),""))</f>
        <v/>
      </c>
      <c r="O40" s="9"/>
      <c r="P40" s="29" t="str">
        <f aca="false">IF(B40="","",IF(J40&lt;=0,"× 赤字",IF(AND(K40&gt;=設定!$B$22,J40&gt;=設定!$B$23),IF(AND(O40&lt;&gt;"",N40&lt;O40),"△ 予算不足","○ OK"),"△ 利益薄い")))</f>
        <v/>
      </c>
    </row>
    <row r="41" customFormat="false" ht="15" hidden="false" customHeight="true" outlineLevel="0" collapsed="false">
      <c r="A41" s="22"/>
      <c r="B41" s="9"/>
      <c r="C41" s="38"/>
      <c r="D41" s="38"/>
      <c r="E41" s="9"/>
      <c r="F41" s="9"/>
      <c r="G41" s="28" t="str">
        <f aca="false">IF(B41="","",(C41+D41)*設定!$B$6*(1+設定!$B$7)+E41+F41)</f>
        <v/>
      </c>
      <c r="H41" s="28" t="str">
        <f aca="false">IF(B41="","",ROUND(G41*設定!$B$8+G41*(1+設定!$B$8)*設定!$B$9,0))</f>
        <v/>
      </c>
      <c r="I41" s="28" t="str">
        <f aca="false">IF(B41="","",ROUND(B41*設定!$B$10,0)+設定!$B$11+設定!$B$12)</f>
        <v/>
      </c>
      <c r="J41" s="39" t="str">
        <f aca="false">IF(B41="","",B41-G41-H41-I41)</f>
        <v/>
      </c>
      <c r="K41" s="40" t="str">
        <f aca="false">IF(B41="","",IFERROR(J41/B41,""))</f>
        <v/>
      </c>
      <c r="L41" s="40" t="str">
        <f aca="false">IF(B41="","",IFERROR(J41/(G41+H41),""))</f>
        <v/>
      </c>
      <c r="M41" s="28" t="str">
        <f aca="false">IF(B41="","",IF(J41&lt;=0,"赤字",ROUNDUP(設定!$B$3/J41,0)))</f>
        <v/>
      </c>
      <c r="N41" s="28" t="str">
        <f aca="false">IF(B41="","",IFERROR(ROUNDDOWN(設定!$B$4/(G41+H41),0),""))</f>
        <v/>
      </c>
      <c r="O41" s="9"/>
      <c r="P41" s="29" t="str">
        <f aca="false">IF(B41="","",IF(J41&lt;=0,"× 赤字",IF(AND(K41&gt;=設定!$B$22,J41&gt;=設定!$B$23),IF(AND(O41&lt;&gt;"",N41&lt;O41),"△ 予算不足","○ OK"),"△ 利益薄い")))</f>
        <v/>
      </c>
    </row>
    <row r="42" customFormat="false" ht="15" hidden="false" customHeight="true" outlineLevel="0" collapsed="false">
      <c r="A42" s="22"/>
      <c r="B42" s="9"/>
      <c r="C42" s="38"/>
      <c r="D42" s="38"/>
      <c r="E42" s="9"/>
      <c r="F42" s="9"/>
      <c r="G42" s="28" t="str">
        <f aca="false">IF(B42="","",(C42+D42)*設定!$B$6*(1+設定!$B$7)+E42+F42)</f>
        <v/>
      </c>
      <c r="H42" s="28" t="str">
        <f aca="false">IF(B42="","",ROUND(G42*設定!$B$8+G42*(1+設定!$B$8)*設定!$B$9,0))</f>
        <v/>
      </c>
      <c r="I42" s="28" t="str">
        <f aca="false">IF(B42="","",ROUND(B42*設定!$B$10,0)+設定!$B$11+設定!$B$12)</f>
        <v/>
      </c>
      <c r="J42" s="39" t="str">
        <f aca="false">IF(B42="","",B42-G42-H42-I42)</f>
        <v/>
      </c>
      <c r="K42" s="40" t="str">
        <f aca="false">IF(B42="","",IFERROR(J42/B42,""))</f>
        <v/>
      </c>
      <c r="L42" s="40" t="str">
        <f aca="false">IF(B42="","",IFERROR(J42/(G42+H42),""))</f>
        <v/>
      </c>
      <c r="M42" s="28" t="str">
        <f aca="false">IF(B42="","",IF(J42&lt;=0,"赤字",ROUNDUP(設定!$B$3/J42,0)))</f>
        <v/>
      </c>
      <c r="N42" s="28" t="str">
        <f aca="false">IF(B42="","",IFERROR(ROUNDDOWN(設定!$B$4/(G42+H42),0),""))</f>
        <v/>
      </c>
      <c r="O42" s="9"/>
      <c r="P42" s="29" t="str">
        <f aca="false">IF(B42="","",IF(J42&lt;=0,"× 赤字",IF(AND(K42&gt;=設定!$B$22,J42&gt;=設定!$B$23),IF(AND(O42&lt;&gt;"",N42&lt;O42),"△ 予算不足","○ OK"),"△ 利益薄い")))</f>
        <v/>
      </c>
    </row>
    <row r="43" customFormat="false" ht="15" hidden="false" customHeight="true" outlineLevel="0" collapsed="false">
      <c r="A43" s="22"/>
      <c r="B43" s="9"/>
      <c r="C43" s="38"/>
      <c r="D43" s="38"/>
      <c r="E43" s="9"/>
      <c r="F43" s="9"/>
      <c r="G43" s="28" t="str">
        <f aca="false">IF(B43="","",(C43+D43)*設定!$B$6*(1+設定!$B$7)+E43+F43)</f>
        <v/>
      </c>
      <c r="H43" s="28" t="str">
        <f aca="false">IF(B43="","",ROUND(G43*設定!$B$8+G43*(1+設定!$B$8)*設定!$B$9,0))</f>
        <v/>
      </c>
      <c r="I43" s="28" t="str">
        <f aca="false">IF(B43="","",ROUND(B43*設定!$B$10,0)+設定!$B$11+設定!$B$12)</f>
        <v/>
      </c>
      <c r="J43" s="39" t="str">
        <f aca="false">IF(B43="","",B43-G43-H43-I43)</f>
        <v/>
      </c>
      <c r="K43" s="40" t="str">
        <f aca="false">IF(B43="","",IFERROR(J43/B43,""))</f>
        <v/>
      </c>
      <c r="L43" s="40" t="str">
        <f aca="false">IF(B43="","",IFERROR(J43/(G43+H43),""))</f>
        <v/>
      </c>
      <c r="M43" s="28" t="str">
        <f aca="false">IF(B43="","",IF(J43&lt;=0,"赤字",ROUNDUP(設定!$B$3/J43,0)))</f>
        <v/>
      </c>
      <c r="N43" s="28" t="str">
        <f aca="false">IF(B43="","",IFERROR(ROUNDDOWN(設定!$B$4/(G43+H43),0),""))</f>
        <v/>
      </c>
      <c r="O43" s="9"/>
      <c r="P43" s="29" t="str">
        <f aca="false">IF(B43="","",IF(J43&lt;=0,"× 赤字",IF(AND(K43&gt;=設定!$B$22,J43&gt;=設定!$B$23),IF(AND(O43&lt;&gt;"",N43&lt;O43),"△ 予算不足","○ OK"),"△ 利益薄い")))</f>
        <v/>
      </c>
    </row>
    <row r="44" customFormat="false" ht="15" hidden="false" customHeight="true" outlineLevel="0" collapsed="false">
      <c r="A44" s="22"/>
      <c r="B44" s="9"/>
      <c r="C44" s="38"/>
      <c r="D44" s="38"/>
      <c r="E44" s="9"/>
      <c r="F44" s="9"/>
      <c r="G44" s="28" t="str">
        <f aca="false">IF(B44="","",(C44+D44)*設定!$B$6*(1+設定!$B$7)+E44+F44)</f>
        <v/>
      </c>
      <c r="H44" s="28" t="str">
        <f aca="false">IF(B44="","",ROUND(G44*設定!$B$8+G44*(1+設定!$B$8)*設定!$B$9,0))</f>
        <v/>
      </c>
      <c r="I44" s="28" t="str">
        <f aca="false">IF(B44="","",ROUND(B44*設定!$B$10,0)+設定!$B$11+設定!$B$12)</f>
        <v/>
      </c>
      <c r="J44" s="39" t="str">
        <f aca="false">IF(B44="","",B44-G44-H44-I44)</f>
        <v/>
      </c>
      <c r="K44" s="40" t="str">
        <f aca="false">IF(B44="","",IFERROR(J44/B44,""))</f>
        <v/>
      </c>
      <c r="L44" s="40" t="str">
        <f aca="false">IF(B44="","",IFERROR(J44/(G44+H44),""))</f>
        <v/>
      </c>
      <c r="M44" s="28" t="str">
        <f aca="false">IF(B44="","",IF(J44&lt;=0,"赤字",ROUNDUP(設定!$B$3/J44,0)))</f>
        <v/>
      </c>
      <c r="N44" s="28" t="str">
        <f aca="false">IF(B44="","",IFERROR(ROUNDDOWN(設定!$B$4/(G44+H44),0),""))</f>
        <v/>
      </c>
      <c r="O44" s="9"/>
      <c r="P44" s="29" t="str">
        <f aca="false">IF(B44="","",IF(J44&lt;=0,"× 赤字",IF(AND(K44&gt;=設定!$B$22,J44&gt;=設定!$B$23),IF(AND(O44&lt;&gt;"",N44&lt;O44),"△ 予算不足","○ OK"),"△ 利益薄い")))</f>
        <v/>
      </c>
    </row>
    <row r="45" customFormat="false" ht="15" hidden="false" customHeight="true" outlineLevel="0" collapsed="false">
      <c r="A45" s="22"/>
      <c r="B45" s="9"/>
      <c r="C45" s="38"/>
      <c r="D45" s="38"/>
      <c r="E45" s="9"/>
      <c r="F45" s="9"/>
      <c r="G45" s="28" t="str">
        <f aca="false">IF(B45="","",(C45+D45)*設定!$B$6*(1+設定!$B$7)+E45+F45)</f>
        <v/>
      </c>
      <c r="H45" s="28" t="str">
        <f aca="false">IF(B45="","",ROUND(G45*設定!$B$8+G45*(1+設定!$B$8)*設定!$B$9,0))</f>
        <v/>
      </c>
      <c r="I45" s="28" t="str">
        <f aca="false">IF(B45="","",ROUND(B45*設定!$B$10,0)+設定!$B$11+設定!$B$12)</f>
        <v/>
      </c>
      <c r="J45" s="39" t="str">
        <f aca="false">IF(B45="","",B45-G45-H45-I45)</f>
        <v/>
      </c>
      <c r="K45" s="40" t="str">
        <f aca="false">IF(B45="","",IFERROR(J45/B45,""))</f>
        <v/>
      </c>
      <c r="L45" s="40" t="str">
        <f aca="false">IF(B45="","",IFERROR(J45/(G45+H45),""))</f>
        <v/>
      </c>
      <c r="M45" s="28" t="str">
        <f aca="false">IF(B45="","",IF(J45&lt;=0,"赤字",ROUNDUP(設定!$B$3/J45,0)))</f>
        <v/>
      </c>
      <c r="N45" s="28" t="str">
        <f aca="false">IF(B45="","",IFERROR(ROUNDDOWN(設定!$B$4/(G45+H45),0),""))</f>
        <v/>
      </c>
      <c r="O45" s="9"/>
      <c r="P45" s="29" t="str">
        <f aca="false">IF(B45="","",IF(J45&lt;=0,"× 赤字",IF(AND(K45&gt;=設定!$B$22,J45&gt;=設定!$B$23),IF(AND(O45&lt;&gt;"",N45&lt;O45),"△ 予算不足","○ OK"),"△ 利益薄い")))</f>
        <v/>
      </c>
    </row>
    <row r="46" customFormat="false" ht="15" hidden="false" customHeight="true" outlineLevel="0" collapsed="false">
      <c r="A46" s="22"/>
      <c r="B46" s="9"/>
      <c r="C46" s="38"/>
      <c r="D46" s="38"/>
      <c r="E46" s="9"/>
      <c r="F46" s="9"/>
      <c r="G46" s="28" t="str">
        <f aca="false">IF(B46="","",(C46+D46)*設定!$B$6*(1+設定!$B$7)+E46+F46)</f>
        <v/>
      </c>
      <c r="H46" s="28" t="str">
        <f aca="false">IF(B46="","",ROUND(G46*設定!$B$8+G46*(1+設定!$B$8)*設定!$B$9,0))</f>
        <v/>
      </c>
      <c r="I46" s="28" t="str">
        <f aca="false">IF(B46="","",ROUND(B46*設定!$B$10,0)+設定!$B$11+設定!$B$12)</f>
        <v/>
      </c>
      <c r="J46" s="39" t="str">
        <f aca="false">IF(B46="","",B46-G46-H46-I46)</f>
        <v/>
      </c>
      <c r="K46" s="40" t="str">
        <f aca="false">IF(B46="","",IFERROR(J46/B46,""))</f>
        <v/>
      </c>
      <c r="L46" s="40" t="str">
        <f aca="false">IF(B46="","",IFERROR(J46/(G46+H46),""))</f>
        <v/>
      </c>
      <c r="M46" s="28" t="str">
        <f aca="false">IF(B46="","",IF(J46&lt;=0,"赤字",ROUNDUP(設定!$B$3/J46,0)))</f>
        <v/>
      </c>
      <c r="N46" s="28" t="str">
        <f aca="false">IF(B46="","",IFERROR(ROUNDDOWN(設定!$B$4/(G46+H46),0),""))</f>
        <v/>
      </c>
      <c r="O46" s="9"/>
      <c r="P46" s="29" t="str">
        <f aca="false">IF(B46="","",IF(J46&lt;=0,"× 赤字",IF(AND(K46&gt;=設定!$B$22,J46&gt;=設定!$B$23),IF(AND(O46&lt;&gt;"",N46&lt;O46),"△ 予算不足","○ OK"),"△ 利益薄い")))</f>
        <v/>
      </c>
    </row>
    <row r="47" customFormat="false" ht="15" hidden="false" customHeight="true" outlineLevel="0" collapsed="false">
      <c r="A47" s="22"/>
      <c r="B47" s="9"/>
      <c r="C47" s="38"/>
      <c r="D47" s="38"/>
      <c r="E47" s="9"/>
      <c r="F47" s="9"/>
      <c r="G47" s="28" t="str">
        <f aca="false">IF(B47="","",(C47+D47)*設定!$B$6*(1+設定!$B$7)+E47+F47)</f>
        <v/>
      </c>
      <c r="H47" s="28" t="str">
        <f aca="false">IF(B47="","",ROUND(G47*設定!$B$8+G47*(1+設定!$B$8)*設定!$B$9,0))</f>
        <v/>
      </c>
      <c r="I47" s="28" t="str">
        <f aca="false">IF(B47="","",ROUND(B47*設定!$B$10,0)+設定!$B$11+設定!$B$12)</f>
        <v/>
      </c>
      <c r="J47" s="39" t="str">
        <f aca="false">IF(B47="","",B47-G47-H47-I47)</f>
        <v/>
      </c>
      <c r="K47" s="40" t="str">
        <f aca="false">IF(B47="","",IFERROR(J47/B47,""))</f>
        <v/>
      </c>
      <c r="L47" s="40" t="str">
        <f aca="false">IF(B47="","",IFERROR(J47/(G47+H47),""))</f>
        <v/>
      </c>
      <c r="M47" s="28" t="str">
        <f aca="false">IF(B47="","",IF(J47&lt;=0,"赤字",ROUNDUP(設定!$B$3/J47,0)))</f>
        <v/>
      </c>
      <c r="N47" s="28" t="str">
        <f aca="false">IF(B47="","",IFERROR(ROUNDDOWN(設定!$B$4/(G47+H47),0),""))</f>
        <v/>
      </c>
      <c r="O47" s="9"/>
      <c r="P47" s="29" t="str">
        <f aca="false">IF(B47="","",IF(J47&lt;=0,"× 赤字",IF(AND(K47&gt;=設定!$B$22,J47&gt;=設定!$B$23),IF(AND(O47&lt;&gt;"",N47&lt;O47),"△ 予算不足","○ OK"),"△ 利益薄い")))</f>
        <v/>
      </c>
    </row>
    <row r="48" customFormat="false" ht="15" hidden="false" customHeight="true" outlineLevel="0" collapsed="false">
      <c r="A48" s="22"/>
      <c r="B48" s="9"/>
      <c r="C48" s="38"/>
      <c r="D48" s="38"/>
      <c r="E48" s="9"/>
      <c r="F48" s="9"/>
      <c r="G48" s="28" t="str">
        <f aca="false">IF(B48="","",(C48+D48)*設定!$B$6*(1+設定!$B$7)+E48+F48)</f>
        <v/>
      </c>
      <c r="H48" s="28" t="str">
        <f aca="false">IF(B48="","",ROUND(G48*設定!$B$8+G48*(1+設定!$B$8)*設定!$B$9,0))</f>
        <v/>
      </c>
      <c r="I48" s="28" t="str">
        <f aca="false">IF(B48="","",ROUND(B48*設定!$B$10,0)+設定!$B$11+設定!$B$12)</f>
        <v/>
      </c>
      <c r="J48" s="39" t="str">
        <f aca="false">IF(B48="","",B48-G48-H48-I48)</f>
        <v/>
      </c>
      <c r="K48" s="40" t="str">
        <f aca="false">IF(B48="","",IFERROR(J48/B48,""))</f>
        <v/>
      </c>
      <c r="L48" s="40" t="str">
        <f aca="false">IF(B48="","",IFERROR(J48/(G48+H48),""))</f>
        <v/>
      </c>
      <c r="M48" s="28" t="str">
        <f aca="false">IF(B48="","",IF(J48&lt;=0,"赤字",ROUNDUP(設定!$B$3/J48,0)))</f>
        <v/>
      </c>
      <c r="N48" s="28" t="str">
        <f aca="false">IF(B48="","",IFERROR(ROUNDDOWN(設定!$B$4/(G48+H48),0),""))</f>
        <v/>
      </c>
      <c r="O48" s="9"/>
      <c r="P48" s="29" t="str">
        <f aca="false">IF(B48="","",IF(J48&lt;=0,"× 赤字",IF(AND(K48&gt;=設定!$B$22,J48&gt;=設定!$B$23),IF(AND(O48&lt;&gt;"",N48&lt;O48),"△ 予算不足","○ OK"),"△ 利益薄い")))</f>
        <v/>
      </c>
    </row>
    <row r="49" customFormat="false" ht="15" hidden="false" customHeight="true" outlineLevel="0" collapsed="false">
      <c r="A49" s="22"/>
      <c r="B49" s="9"/>
      <c r="C49" s="38"/>
      <c r="D49" s="38"/>
      <c r="E49" s="9"/>
      <c r="F49" s="9"/>
      <c r="G49" s="28" t="str">
        <f aca="false">IF(B49="","",(C49+D49)*設定!$B$6*(1+設定!$B$7)+E49+F49)</f>
        <v/>
      </c>
      <c r="H49" s="28" t="str">
        <f aca="false">IF(B49="","",ROUND(G49*設定!$B$8+G49*(1+設定!$B$8)*設定!$B$9,0))</f>
        <v/>
      </c>
      <c r="I49" s="28" t="str">
        <f aca="false">IF(B49="","",ROUND(B49*設定!$B$10,0)+設定!$B$11+設定!$B$12)</f>
        <v/>
      </c>
      <c r="J49" s="39" t="str">
        <f aca="false">IF(B49="","",B49-G49-H49-I49)</f>
        <v/>
      </c>
      <c r="K49" s="40" t="str">
        <f aca="false">IF(B49="","",IFERROR(J49/B49,""))</f>
        <v/>
      </c>
      <c r="L49" s="40" t="str">
        <f aca="false">IF(B49="","",IFERROR(J49/(G49+H49),""))</f>
        <v/>
      </c>
      <c r="M49" s="28" t="str">
        <f aca="false">IF(B49="","",IF(J49&lt;=0,"赤字",ROUNDUP(設定!$B$3/J49,0)))</f>
        <v/>
      </c>
      <c r="N49" s="28" t="str">
        <f aca="false">IF(B49="","",IFERROR(ROUNDDOWN(設定!$B$4/(G49+H49),0),""))</f>
        <v/>
      </c>
      <c r="O49" s="9"/>
      <c r="P49" s="29" t="str">
        <f aca="false">IF(B49="","",IF(J49&lt;=0,"× 赤字",IF(AND(K49&gt;=設定!$B$22,J49&gt;=設定!$B$23),IF(AND(O49&lt;&gt;"",N49&lt;O49),"△ 予算不足","○ OK"),"△ 利益薄い")))</f>
        <v/>
      </c>
    </row>
    <row r="50" customFormat="false" ht="15" hidden="false" customHeight="true" outlineLevel="0" collapsed="false">
      <c r="A50" s="22"/>
      <c r="B50" s="9"/>
      <c r="C50" s="38"/>
      <c r="D50" s="38"/>
      <c r="E50" s="9"/>
      <c r="F50" s="9"/>
      <c r="G50" s="28" t="str">
        <f aca="false">IF(B50="","",(C50+D50)*設定!$B$6*(1+設定!$B$7)+E50+F50)</f>
        <v/>
      </c>
      <c r="H50" s="28" t="str">
        <f aca="false">IF(B50="","",ROUND(G50*設定!$B$8+G50*(1+設定!$B$8)*設定!$B$9,0))</f>
        <v/>
      </c>
      <c r="I50" s="28" t="str">
        <f aca="false">IF(B50="","",ROUND(B50*設定!$B$10,0)+設定!$B$11+設定!$B$12)</f>
        <v/>
      </c>
      <c r="J50" s="39" t="str">
        <f aca="false">IF(B50="","",B50-G50-H50-I50)</f>
        <v/>
      </c>
      <c r="K50" s="40" t="str">
        <f aca="false">IF(B50="","",IFERROR(J50/B50,""))</f>
        <v/>
      </c>
      <c r="L50" s="40" t="str">
        <f aca="false">IF(B50="","",IFERROR(J50/(G50+H50),""))</f>
        <v/>
      </c>
      <c r="M50" s="28" t="str">
        <f aca="false">IF(B50="","",IF(J50&lt;=0,"赤字",ROUNDUP(設定!$B$3/J50,0)))</f>
        <v/>
      </c>
      <c r="N50" s="28" t="str">
        <f aca="false">IF(B50="","",IFERROR(ROUNDDOWN(設定!$B$4/(G50+H50),0),""))</f>
        <v/>
      </c>
      <c r="O50" s="9"/>
      <c r="P50" s="29" t="str">
        <f aca="false">IF(B50="","",IF(J50&lt;=0,"× 赤字",IF(AND(K50&gt;=設定!$B$22,J50&gt;=設定!$B$23),IF(AND(O50&lt;&gt;"",N50&lt;O50),"△ 予算不足","○ OK"),"△ 利益薄い")))</f>
        <v/>
      </c>
    </row>
    <row r="51" customFormat="false" ht="15" hidden="false" customHeight="true" outlineLevel="0" collapsed="false">
      <c r="A51" s="22"/>
      <c r="B51" s="9"/>
      <c r="C51" s="38"/>
      <c r="D51" s="38"/>
      <c r="E51" s="9"/>
      <c r="F51" s="9"/>
      <c r="G51" s="28" t="str">
        <f aca="false">IF(B51="","",(C51+D51)*設定!$B$6*(1+設定!$B$7)+E51+F51)</f>
        <v/>
      </c>
      <c r="H51" s="28" t="str">
        <f aca="false">IF(B51="","",ROUND(G51*設定!$B$8+G51*(1+設定!$B$8)*設定!$B$9,0))</f>
        <v/>
      </c>
      <c r="I51" s="28" t="str">
        <f aca="false">IF(B51="","",ROUND(B51*設定!$B$10,0)+設定!$B$11+設定!$B$12)</f>
        <v/>
      </c>
      <c r="J51" s="39" t="str">
        <f aca="false">IF(B51="","",B51-G51-H51-I51)</f>
        <v/>
      </c>
      <c r="K51" s="40" t="str">
        <f aca="false">IF(B51="","",IFERROR(J51/B51,""))</f>
        <v/>
      </c>
      <c r="L51" s="40" t="str">
        <f aca="false">IF(B51="","",IFERROR(J51/(G51+H51),""))</f>
        <v/>
      </c>
      <c r="M51" s="28" t="str">
        <f aca="false">IF(B51="","",IF(J51&lt;=0,"赤字",ROUNDUP(設定!$B$3/J51,0)))</f>
        <v/>
      </c>
      <c r="N51" s="28" t="str">
        <f aca="false">IF(B51="","",IFERROR(ROUNDDOWN(設定!$B$4/(G51+H51),0),""))</f>
        <v/>
      </c>
      <c r="O51" s="9"/>
      <c r="P51" s="29" t="str">
        <f aca="false">IF(B51="","",IF(J51&lt;=0,"× 赤字",IF(AND(K51&gt;=設定!$B$22,J51&gt;=設定!$B$23),IF(AND(O51&lt;&gt;"",N51&lt;O51),"△ 予算不足","○ OK"),"△ 利益薄い")))</f>
        <v/>
      </c>
    </row>
    <row r="52" customFormat="false" ht="15" hidden="false" customHeight="true" outlineLevel="0" collapsed="false">
      <c r="A52" s="22"/>
      <c r="B52" s="9"/>
      <c r="C52" s="38"/>
      <c r="D52" s="38"/>
      <c r="E52" s="9"/>
      <c r="F52" s="9"/>
      <c r="G52" s="28" t="str">
        <f aca="false">IF(B52="","",(C52+D52)*設定!$B$6*(1+設定!$B$7)+E52+F52)</f>
        <v/>
      </c>
      <c r="H52" s="28" t="str">
        <f aca="false">IF(B52="","",ROUND(G52*設定!$B$8+G52*(1+設定!$B$8)*設定!$B$9,0))</f>
        <v/>
      </c>
      <c r="I52" s="28" t="str">
        <f aca="false">IF(B52="","",ROUND(B52*設定!$B$10,0)+設定!$B$11+設定!$B$12)</f>
        <v/>
      </c>
      <c r="J52" s="39" t="str">
        <f aca="false">IF(B52="","",B52-G52-H52-I52)</f>
        <v/>
      </c>
      <c r="K52" s="40" t="str">
        <f aca="false">IF(B52="","",IFERROR(J52/B52,""))</f>
        <v/>
      </c>
      <c r="L52" s="40" t="str">
        <f aca="false">IF(B52="","",IFERROR(J52/(G52+H52),""))</f>
        <v/>
      </c>
      <c r="M52" s="28" t="str">
        <f aca="false">IF(B52="","",IF(J52&lt;=0,"赤字",ROUNDUP(設定!$B$3/J52,0)))</f>
        <v/>
      </c>
      <c r="N52" s="28" t="str">
        <f aca="false">IF(B52="","",IFERROR(ROUNDDOWN(設定!$B$4/(G52+H52),0),""))</f>
        <v/>
      </c>
      <c r="O52" s="9"/>
      <c r="P52" s="29" t="str">
        <f aca="false">IF(B52="","",IF(J52&lt;=0,"× 赤字",IF(AND(K52&gt;=設定!$B$22,J52&gt;=設定!$B$23),IF(AND(O52&lt;&gt;"",N52&lt;O52),"△ 予算不足","○ OK"),"△ 利益薄い")))</f>
        <v/>
      </c>
    </row>
    <row r="53" customFormat="false" ht="15" hidden="false" customHeight="true" outlineLevel="0" collapsed="false">
      <c r="A53" s="22"/>
      <c r="B53" s="9"/>
      <c r="C53" s="38"/>
      <c r="D53" s="38"/>
      <c r="E53" s="9"/>
      <c r="F53" s="9"/>
      <c r="G53" s="28" t="str">
        <f aca="false">IF(B53="","",(C53+D53)*設定!$B$6*(1+設定!$B$7)+E53+F53)</f>
        <v/>
      </c>
      <c r="H53" s="28" t="str">
        <f aca="false">IF(B53="","",ROUND(G53*設定!$B$8+G53*(1+設定!$B$8)*設定!$B$9,0))</f>
        <v/>
      </c>
      <c r="I53" s="28" t="str">
        <f aca="false">IF(B53="","",ROUND(B53*設定!$B$10,0)+設定!$B$11+設定!$B$12)</f>
        <v/>
      </c>
      <c r="J53" s="39" t="str">
        <f aca="false">IF(B53="","",B53-G53-H53-I53)</f>
        <v/>
      </c>
      <c r="K53" s="40" t="str">
        <f aca="false">IF(B53="","",IFERROR(J53/B53,""))</f>
        <v/>
      </c>
      <c r="L53" s="40" t="str">
        <f aca="false">IF(B53="","",IFERROR(J53/(G53+H53),""))</f>
        <v/>
      </c>
      <c r="M53" s="28" t="str">
        <f aca="false">IF(B53="","",IF(J53&lt;=0,"赤字",ROUNDUP(設定!$B$3/J53,0)))</f>
        <v/>
      </c>
      <c r="N53" s="28" t="str">
        <f aca="false">IF(B53="","",IFERROR(ROUNDDOWN(設定!$B$4/(G53+H53),0),""))</f>
        <v/>
      </c>
      <c r="O53" s="9"/>
      <c r="P53" s="29" t="str">
        <f aca="false">IF(B53="","",IF(J53&lt;=0,"× 赤字",IF(AND(K53&gt;=設定!$B$22,J53&gt;=設定!$B$23),IF(AND(O53&lt;&gt;"",N53&lt;O53),"△ 予算不足","○ OK"),"△ 利益薄い")))</f>
        <v/>
      </c>
    </row>
    <row r="54" customFormat="false" ht="15" hidden="false" customHeight="true" outlineLevel="0" collapsed="false">
      <c r="A54" s="22"/>
      <c r="B54" s="9"/>
      <c r="C54" s="38"/>
      <c r="D54" s="38"/>
      <c r="E54" s="9"/>
      <c r="F54" s="9"/>
      <c r="G54" s="28" t="str">
        <f aca="false">IF(B54="","",(C54+D54)*設定!$B$6*(1+設定!$B$7)+E54+F54)</f>
        <v/>
      </c>
      <c r="H54" s="28" t="str">
        <f aca="false">IF(B54="","",ROUND(G54*設定!$B$8+G54*(1+設定!$B$8)*設定!$B$9,0))</f>
        <v/>
      </c>
      <c r="I54" s="28" t="str">
        <f aca="false">IF(B54="","",ROUND(B54*設定!$B$10,0)+設定!$B$11+設定!$B$12)</f>
        <v/>
      </c>
      <c r="J54" s="39" t="str">
        <f aca="false">IF(B54="","",B54-G54-H54-I54)</f>
        <v/>
      </c>
      <c r="K54" s="40" t="str">
        <f aca="false">IF(B54="","",IFERROR(J54/B54,""))</f>
        <v/>
      </c>
      <c r="L54" s="40" t="str">
        <f aca="false">IF(B54="","",IFERROR(J54/(G54+H54),""))</f>
        <v/>
      </c>
      <c r="M54" s="28" t="str">
        <f aca="false">IF(B54="","",IF(J54&lt;=0,"赤字",ROUNDUP(設定!$B$3/J54,0)))</f>
        <v/>
      </c>
      <c r="N54" s="28" t="str">
        <f aca="false">IF(B54="","",IFERROR(ROUNDDOWN(設定!$B$4/(G54+H54),0),""))</f>
        <v/>
      </c>
      <c r="O54" s="9"/>
      <c r="P54" s="29" t="str">
        <f aca="false">IF(B54="","",IF(J54&lt;=0,"× 赤字",IF(AND(K54&gt;=設定!$B$22,J54&gt;=設定!$B$23),IF(AND(O54&lt;&gt;"",N54&lt;O54),"△ 予算不足","○ OK"),"△ 利益薄い")))</f>
        <v/>
      </c>
    </row>
    <row r="55" customFormat="false" ht="15" hidden="false" customHeight="true" outlineLevel="0" collapsed="false">
      <c r="A55" s="22"/>
      <c r="B55" s="9"/>
      <c r="C55" s="38"/>
      <c r="D55" s="38"/>
      <c r="E55" s="9"/>
      <c r="F55" s="9"/>
      <c r="G55" s="28" t="str">
        <f aca="false">IF(B55="","",(C55+D55)*設定!$B$6*(1+設定!$B$7)+E55+F55)</f>
        <v/>
      </c>
      <c r="H55" s="28" t="str">
        <f aca="false">IF(B55="","",ROUND(G55*設定!$B$8+G55*(1+設定!$B$8)*設定!$B$9,0))</f>
        <v/>
      </c>
      <c r="I55" s="28" t="str">
        <f aca="false">IF(B55="","",ROUND(B55*設定!$B$10,0)+設定!$B$11+設定!$B$12)</f>
        <v/>
      </c>
      <c r="J55" s="39" t="str">
        <f aca="false">IF(B55="","",B55-G55-H55-I55)</f>
        <v/>
      </c>
      <c r="K55" s="40" t="str">
        <f aca="false">IF(B55="","",IFERROR(J55/B55,""))</f>
        <v/>
      </c>
      <c r="L55" s="40" t="str">
        <f aca="false">IF(B55="","",IFERROR(J55/(G55+H55),""))</f>
        <v/>
      </c>
      <c r="M55" s="28" t="str">
        <f aca="false">IF(B55="","",IF(J55&lt;=0,"赤字",ROUNDUP(設定!$B$3/J55,0)))</f>
        <v/>
      </c>
      <c r="N55" s="28" t="str">
        <f aca="false">IF(B55="","",IFERROR(ROUNDDOWN(設定!$B$4/(G55+H55),0),""))</f>
        <v/>
      </c>
      <c r="O55" s="9"/>
      <c r="P55" s="29" t="str">
        <f aca="false">IF(B55="","",IF(J55&lt;=0,"× 赤字",IF(AND(K55&gt;=設定!$B$22,J55&gt;=設定!$B$23),IF(AND(O55&lt;&gt;"",N55&lt;O55),"△ 予算不足","○ OK"),"△ 利益薄い")))</f>
        <v/>
      </c>
    </row>
    <row r="56" customFormat="false" ht="15" hidden="false" customHeight="true" outlineLevel="0" collapsed="false">
      <c r="A56" s="22"/>
      <c r="B56" s="9"/>
      <c r="C56" s="38"/>
      <c r="D56" s="38"/>
      <c r="E56" s="9"/>
      <c r="F56" s="9"/>
      <c r="G56" s="28" t="str">
        <f aca="false">IF(B56="","",(C56+D56)*設定!$B$6*(1+設定!$B$7)+E56+F56)</f>
        <v/>
      </c>
      <c r="H56" s="28" t="str">
        <f aca="false">IF(B56="","",ROUND(G56*設定!$B$8+G56*(1+設定!$B$8)*設定!$B$9,0))</f>
        <v/>
      </c>
      <c r="I56" s="28" t="str">
        <f aca="false">IF(B56="","",ROUND(B56*設定!$B$10,0)+設定!$B$11+設定!$B$12)</f>
        <v/>
      </c>
      <c r="J56" s="39" t="str">
        <f aca="false">IF(B56="","",B56-G56-H56-I56)</f>
        <v/>
      </c>
      <c r="K56" s="40" t="str">
        <f aca="false">IF(B56="","",IFERROR(J56/B56,""))</f>
        <v/>
      </c>
      <c r="L56" s="40" t="str">
        <f aca="false">IF(B56="","",IFERROR(J56/(G56+H56),""))</f>
        <v/>
      </c>
      <c r="M56" s="28" t="str">
        <f aca="false">IF(B56="","",IF(J56&lt;=0,"赤字",ROUNDUP(設定!$B$3/J56,0)))</f>
        <v/>
      </c>
      <c r="N56" s="28" t="str">
        <f aca="false">IF(B56="","",IFERROR(ROUNDDOWN(設定!$B$4/(G56+H56),0),""))</f>
        <v/>
      </c>
      <c r="O56" s="9"/>
      <c r="P56" s="29" t="str">
        <f aca="false">IF(B56="","",IF(J56&lt;=0,"× 赤字",IF(AND(K56&gt;=設定!$B$22,J56&gt;=設定!$B$23),IF(AND(O56&lt;&gt;"",N56&lt;O56),"△ 予算不足","○ OK"),"△ 利益薄い")))</f>
        <v/>
      </c>
    </row>
    <row r="57" customFormat="false" ht="15" hidden="false" customHeight="true" outlineLevel="0" collapsed="false">
      <c r="A57" s="22"/>
      <c r="B57" s="9"/>
      <c r="C57" s="38"/>
      <c r="D57" s="38"/>
      <c r="E57" s="9"/>
      <c r="F57" s="9"/>
      <c r="G57" s="28" t="str">
        <f aca="false">IF(B57="","",(C57+D57)*設定!$B$6*(1+設定!$B$7)+E57+F57)</f>
        <v/>
      </c>
      <c r="H57" s="28" t="str">
        <f aca="false">IF(B57="","",ROUND(G57*設定!$B$8+G57*(1+設定!$B$8)*設定!$B$9,0))</f>
        <v/>
      </c>
      <c r="I57" s="28" t="str">
        <f aca="false">IF(B57="","",ROUND(B57*設定!$B$10,0)+設定!$B$11+設定!$B$12)</f>
        <v/>
      </c>
      <c r="J57" s="39" t="str">
        <f aca="false">IF(B57="","",B57-G57-H57-I57)</f>
        <v/>
      </c>
      <c r="K57" s="40" t="str">
        <f aca="false">IF(B57="","",IFERROR(J57/B57,""))</f>
        <v/>
      </c>
      <c r="L57" s="40" t="str">
        <f aca="false">IF(B57="","",IFERROR(J57/(G57+H57),""))</f>
        <v/>
      </c>
      <c r="M57" s="28" t="str">
        <f aca="false">IF(B57="","",IF(J57&lt;=0,"赤字",ROUNDUP(設定!$B$3/J57,0)))</f>
        <v/>
      </c>
      <c r="N57" s="28" t="str">
        <f aca="false">IF(B57="","",IFERROR(ROUNDDOWN(設定!$B$4/(G57+H57),0),""))</f>
        <v/>
      </c>
      <c r="O57" s="9"/>
      <c r="P57" s="29" t="str">
        <f aca="false">IF(B57="","",IF(J57&lt;=0,"× 赤字",IF(AND(K57&gt;=設定!$B$22,J57&gt;=設定!$B$23),IF(AND(O57&lt;&gt;"",N57&lt;O57),"△ 予算不足","○ OK"),"△ 利益薄い")))</f>
        <v/>
      </c>
    </row>
    <row r="58" customFormat="false" ht="15" hidden="false" customHeight="true" outlineLevel="0" collapsed="false">
      <c r="A58" s="22"/>
      <c r="B58" s="9"/>
      <c r="C58" s="38"/>
      <c r="D58" s="38"/>
      <c r="E58" s="9"/>
      <c r="F58" s="9"/>
      <c r="G58" s="28" t="str">
        <f aca="false">IF(B58="","",(C58+D58)*設定!$B$6*(1+設定!$B$7)+E58+F58)</f>
        <v/>
      </c>
      <c r="H58" s="28" t="str">
        <f aca="false">IF(B58="","",ROUND(G58*設定!$B$8+G58*(1+設定!$B$8)*設定!$B$9,0))</f>
        <v/>
      </c>
      <c r="I58" s="28" t="str">
        <f aca="false">IF(B58="","",ROUND(B58*設定!$B$10,0)+設定!$B$11+設定!$B$12)</f>
        <v/>
      </c>
      <c r="J58" s="39" t="str">
        <f aca="false">IF(B58="","",B58-G58-H58-I58)</f>
        <v/>
      </c>
      <c r="K58" s="40" t="str">
        <f aca="false">IF(B58="","",IFERROR(J58/B58,""))</f>
        <v/>
      </c>
      <c r="L58" s="40" t="str">
        <f aca="false">IF(B58="","",IFERROR(J58/(G58+H58),""))</f>
        <v/>
      </c>
      <c r="M58" s="28" t="str">
        <f aca="false">IF(B58="","",IF(J58&lt;=0,"赤字",ROUNDUP(設定!$B$3/J58,0)))</f>
        <v/>
      </c>
      <c r="N58" s="28" t="str">
        <f aca="false">IF(B58="","",IFERROR(ROUNDDOWN(設定!$B$4/(G58+H58),0),""))</f>
        <v/>
      </c>
      <c r="O58" s="9"/>
      <c r="P58" s="29" t="str">
        <f aca="false">IF(B58="","",IF(J58&lt;=0,"× 赤字",IF(AND(K58&gt;=設定!$B$22,J58&gt;=設定!$B$23),IF(AND(O58&lt;&gt;"",N58&lt;O58),"△ 予算不足","○ OK"),"△ 利益薄い")))</f>
        <v/>
      </c>
    </row>
    <row r="59" customFormat="false" ht="15" hidden="false" customHeight="true" outlineLevel="0" collapsed="false">
      <c r="A59" s="22"/>
      <c r="B59" s="9"/>
      <c r="C59" s="38"/>
      <c r="D59" s="38"/>
      <c r="E59" s="9"/>
      <c r="F59" s="9"/>
      <c r="G59" s="28" t="str">
        <f aca="false">IF(B59="","",(C59+D59)*設定!$B$6*(1+設定!$B$7)+E59+F59)</f>
        <v/>
      </c>
      <c r="H59" s="28" t="str">
        <f aca="false">IF(B59="","",ROUND(G59*設定!$B$8+G59*(1+設定!$B$8)*設定!$B$9,0))</f>
        <v/>
      </c>
      <c r="I59" s="28" t="str">
        <f aca="false">IF(B59="","",ROUND(B59*設定!$B$10,0)+設定!$B$11+設定!$B$12)</f>
        <v/>
      </c>
      <c r="J59" s="39" t="str">
        <f aca="false">IF(B59="","",B59-G59-H59-I59)</f>
        <v/>
      </c>
      <c r="K59" s="40" t="str">
        <f aca="false">IF(B59="","",IFERROR(J59/B59,""))</f>
        <v/>
      </c>
      <c r="L59" s="40" t="str">
        <f aca="false">IF(B59="","",IFERROR(J59/(G59+H59),""))</f>
        <v/>
      </c>
      <c r="M59" s="28" t="str">
        <f aca="false">IF(B59="","",IF(J59&lt;=0,"赤字",ROUNDUP(設定!$B$3/J59,0)))</f>
        <v/>
      </c>
      <c r="N59" s="28" t="str">
        <f aca="false">IF(B59="","",IFERROR(ROUNDDOWN(設定!$B$4/(G59+H59),0),""))</f>
        <v/>
      </c>
      <c r="O59" s="9"/>
      <c r="P59" s="29" t="str">
        <f aca="false">IF(B59="","",IF(J59&lt;=0,"× 赤字",IF(AND(K59&gt;=設定!$B$22,J59&gt;=設定!$B$23),IF(AND(O59&lt;&gt;"",N59&lt;O59),"△ 予算不足","○ OK"),"△ 利益薄い")))</f>
        <v/>
      </c>
    </row>
    <row r="60" customFormat="false" ht="15" hidden="false" customHeight="true" outlineLevel="0" collapsed="false">
      <c r="A60" s="22"/>
      <c r="B60" s="9"/>
      <c r="C60" s="38"/>
      <c r="D60" s="38"/>
      <c r="E60" s="9"/>
      <c r="F60" s="9"/>
      <c r="G60" s="28" t="str">
        <f aca="false">IF(B60="","",(C60+D60)*設定!$B$6*(1+設定!$B$7)+E60+F60)</f>
        <v/>
      </c>
      <c r="H60" s="28" t="str">
        <f aca="false">IF(B60="","",ROUND(G60*設定!$B$8+G60*(1+設定!$B$8)*設定!$B$9,0))</f>
        <v/>
      </c>
      <c r="I60" s="28" t="str">
        <f aca="false">IF(B60="","",ROUND(B60*設定!$B$10,0)+設定!$B$11+設定!$B$12)</f>
        <v/>
      </c>
      <c r="J60" s="39" t="str">
        <f aca="false">IF(B60="","",B60-G60-H60-I60)</f>
        <v/>
      </c>
      <c r="K60" s="40" t="str">
        <f aca="false">IF(B60="","",IFERROR(J60/B60,""))</f>
        <v/>
      </c>
      <c r="L60" s="40" t="str">
        <f aca="false">IF(B60="","",IFERROR(J60/(G60+H60),""))</f>
        <v/>
      </c>
      <c r="M60" s="28" t="str">
        <f aca="false">IF(B60="","",IF(J60&lt;=0,"赤字",ROUNDUP(設定!$B$3/J60,0)))</f>
        <v/>
      </c>
      <c r="N60" s="28" t="str">
        <f aca="false">IF(B60="","",IFERROR(ROUNDDOWN(設定!$B$4/(G60+H60),0),""))</f>
        <v/>
      </c>
      <c r="O60" s="9"/>
      <c r="P60" s="29" t="str">
        <f aca="false">IF(B60="","",IF(J60&lt;=0,"× 赤字",IF(AND(K60&gt;=設定!$B$22,J60&gt;=設定!$B$23),IF(AND(O60&lt;&gt;"",N60&lt;O60),"△ 予算不足","○ OK"),"△ 利益薄い")))</f>
        <v/>
      </c>
    </row>
    <row r="61" customFormat="false" ht="15" hidden="false" customHeight="true" outlineLevel="0" collapsed="false">
      <c r="A61" s="22"/>
      <c r="B61" s="9"/>
      <c r="C61" s="38"/>
      <c r="D61" s="38"/>
      <c r="E61" s="9"/>
      <c r="F61" s="9"/>
      <c r="G61" s="28" t="str">
        <f aca="false">IF(B61="","",(C61+D61)*設定!$B$6*(1+設定!$B$7)+E61+F61)</f>
        <v/>
      </c>
      <c r="H61" s="28" t="str">
        <f aca="false">IF(B61="","",ROUND(G61*設定!$B$8+G61*(1+設定!$B$8)*設定!$B$9,0))</f>
        <v/>
      </c>
      <c r="I61" s="28" t="str">
        <f aca="false">IF(B61="","",ROUND(B61*設定!$B$10,0)+設定!$B$11+設定!$B$12)</f>
        <v/>
      </c>
      <c r="J61" s="39" t="str">
        <f aca="false">IF(B61="","",B61-G61-H61-I61)</f>
        <v/>
      </c>
      <c r="K61" s="40" t="str">
        <f aca="false">IF(B61="","",IFERROR(J61/B61,""))</f>
        <v/>
      </c>
      <c r="L61" s="40" t="str">
        <f aca="false">IF(B61="","",IFERROR(J61/(G61+H61),""))</f>
        <v/>
      </c>
      <c r="M61" s="28" t="str">
        <f aca="false">IF(B61="","",IF(J61&lt;=0,"赤字",ROUNDUP(設定!$B$3/J61,0)))</f>
        <v/>
      </c>
      <c r="N61" s="28" t="str">
        <f aca="false">IF(B61="","",IFERROR(ROUNDDOWN(設定!$B$4/(G61+H61),0),""))</f>
        <v/>
      </c>
      <c r="O61" s="9"/>
      <c r="P61" s="29" t="str">
        <f aca="false">IF(B61="","",IF(J61&lt;=0,"× 赤字",IF(AND(K61&gt;=設定!$B$22,J61&gt;=設定!$B$23),IF(AND(O61&lt;&gt;"",N61&lt;O61),"△ 予算不足","○ OK"),"△ 利益薄い")))</f>
        <v/>
      </c>
    </row>
    <row r="62" customFormat="false" ht="15" hidden="false" customHeight="true" outlineLevel="0" collapsed="false">
      <c r="A62" s="22"/>
      <c r="B62" s="9"/>
      <c r="C62" s="38"/>
      <c r="D62" s="38"/>
      <c r="E62" s="9"/>
      <c r="F62" s="9"/>
      <c r="G62" s="28" t="str">
        <f aca="false">IF(B62="","",(C62+D62)*設定!$B$6*(1+設定!$B$7)+E62+F62)</f>
        <v/>
      </c>
      <c r="H62" s="28" t="str">
        <f aca="false">IF(B62="","",ROUND(G62*設定!$B$8+G62*(1+設定!$B$8)*設定!$B$9,0))</f>
        <v/>
      </c>
      <c r="I62" s="28" t="str">
        <f aca="false">IF(B62="","",ROUND(B62*設定!$B$10,0)+設定!$B$11+設定!$B$12)</f>
        <v/>
      </c>
      <c r="J62" s="39" t="str">
        <f aca="false">IF(B62="","",B62-G62-H62-I62)</f>
        <v/>
      </c>
      <c r="K62" s="40" t="str">
        <f aca="false">IF(B62="","",IFERROR(J62/B62,""))</f>
        <v/>
      </c>
      <c r="L62" s="40" t="str">
        <f aca="false">IF(B62="","",IFERROR(J62/(G62+H62),""))</f>
        <v/>
      </c>
      <c r="M62" s="28" t="str">
        <f aca="false">IF(B62="","",IF(J62&lt;=0,"赤字",ROUNDUP(設定!$B$3/J62,0)))</f>
        <v/>
      </c>
      <c r="N62" s="28" t="str">
        <f aca="false">IF(B62="","",IFERROR(ROUNDDOWN(設定!$B$4/(G62+H62),0),""))</f>
        <v/>
      </c>
      <c r="O62" s="9"/>
      <c r="P62" s="29" t="str">
        <f aca="false">IF(B62="","",IF(J62&lt;=0,"× 赤字",IF(AND(K62&gt;=設定!$B$22,J62&gt;=設定!$B$23),IF(AND(O62&lt;&gt;"",N62&lt;O62),"△ 予算不足","○ OK"),"△ 利益薄い")))</f>
        <v/>
      </c>
    </row>
    <row r="63" customFormat="false" ht="15" hidden="false" customHeight="true" outlineLevel="0" collapsed="false">
      <c r="A63" s="22"/>
      <c r="B63" s="9"/>
      <c r="C63" s="38"/>
      <c r="D63" s="38"/>
      <c r="E63" s="9"/>
      <c r="F63" s="9"/>
      <c r="G63" s="28" t="str">
        <f aca="false">IF(B63="","",(C63+D63)*設定!$B$6*(1+設定!$B$7)+E63+F63)</f>
        <v/>
      </c>
      <c r="H63" s="28" t="str">
        <f aca="false">IF(B63="","",ROUND(G63*設定!$B$8+G63*(1+設定!$B$8)*設定!$B$9,0))</f>
        <v/>
      </c>
      <c r="I63" s="28" t="str">
        <f aca="false">IF(B63="","",ROUND(B63*設定!$B$10,0)+設定!$B$11+設定!$B$12)</f>
        <v/>
      </c>
      <c r="J63" s="39" t="str">
        <f aca="false">IF(B63="","",B63-G63-H63-I63)</f>
        <v/>
      </c>
      <c r="K63" s="40" t="str">
        <f aca="false">IF(B63="","",IFERROR(J63/B63,""))</f>
        <v/>
      </c>
      <c r="L63" s="40" t="str">
        <f aca="false">IF(B63="","",IFERROR(J63/(G63+H63),""))</f>
        <v/>
      </c>
      <c r="M63" s="28" t="str">
        <f aca="false">IF(B63="","",IF(J63&lt;=0,"赤字",ROUNDUP(設定!$B$3/J63,0)))</f>
        <v/>
      </c>
      <c r="N63" s="28" t="str">
        <f aca="false">IF(B63="","",IFERROR(ROUNDDOWN(設定!$B$4/(G63+H63),0),""))</f>
        <v/>
      </c>
      <c r="O63" s="9"/>
      <c r="P63" s="29" t="str">
        <f aca="false">IF(B63="","",IF(J63&lt;=0,"× 赤字",IF(AND(K63&gt;=設定!$B$22,J63&gt;=設定!$B$23),IF(AND(O63&lt;&gt;"",N63&lt;O63),"△ 予算不足","○ OK"),"△ 利益薄い")))</f>
        <v/>
      </c>
    </row>
    <row r="64" customFormat="false" ht="15" hidden="false" customHeight="true" outlineLevel="0" collapsed="false">
      <c r="A64" s="22"/>
      <c r="B64" s="9"/>
      <c r="C64" s="38"/>
      <c r="D64" s="38"/>
      <c r="E64" s="9"/>
      <c r="F64" s="9"/>
      <c r="G64" s="28" t="str">
        <f aca="false">IF(B64="","",(C64+D64)*設定!$B$6*(1+設定!$B$7)+E64+F64)</f>
        <v/>
      </c>
      <c r="H64" s="28" t="str">
        <f aca="false">IF(B64="","",ROUND(G64*設定!$B$8+G64*(1+設定!$B$8)*設定!$B$9,0))</f>
        <v/>
      </c>
      <c r="I64" s="28" t="str">
        <f aca="false">IF(B64="","",ROUND(B64*設定!$B$10,0)+設定!$B$11+設定!$B$12)</f>
        <v/>
      </c>
      <c r="J64" s="39" t="str">
        <f aca="false">IF(B64="","",B64-G64-H64-I64)</f>
        <v/>
      </c>
      <c r="K64" s="40" t="str">
        <f aca="false">IF(B64="","",IFERROR(J64/B64,""))</f>
        <v/>
      </c>
      <c r="L64" s="40" t="str">
        <f aca="false">IF(B64="","",IFERROR(J64/(G64+H64),""))</f>
        <v/>
      </c>
      <c r="M64" s="28" t="str">
        <f aca="false">IF(B64="","",IF(J64&lt;=0,"赤字",ROUNDUP(設定!$B$3/J64,0)))</f>
        <v/>
      </c>
      <c r="N64" s="28" t="str">
        <f aca="false">IF(B64="","",IFERROR(ROUNDDOWN(設定!$B$4/(G64+H64),0),""))</f>
        <v/>
      </c>
      <c r="O64" s="9"/>
      <c r="P64" s="29" t="str">
        <f aca="false">IF(B64="","",IF(J64&lt;=0,"× 赤字",IF(AND(K64&gt;=設定!$B$22,J64&gt;=設定!$B$23),IF(AND(O64&lt;&gt;"",N64&lt;O64),"△ 予算不足","○ OK"),"△ 利益薄い")))</f>
        <v/>
      </c>
    </row>
    <row r="65" customFormat="false" ht="15" hidden="false" customHeight="true" outlineLevel="0" collapsed="false">
      <c r="A65" s="22"/>
      <c r="B65" s="9"/>
      <c r="C65" s="38"/>
      <c r="D65" s="38"/>
      <c r="E65" s="9"/>
      <c r="F65" s="9"/>
      <c r="G65" s="28" t="str">
        <f aca="false">IF(B65="","",(C65+D65)*設定!$B$6*(1+設定!$B$7)+E65+F65)</f>
        <v/>
      </c>
      <c r="H65" s="28" t="str">
        <f aca="false">IF(B65="","",ROUND(G65*設定!$B$8+G65*(1+設定!$B$8)*設定!$B$9,0))</f>
        <v/>
      </c>
      <c r="I65" s="28" t="str">
        <f aca="false">IF(B65="","",ROUND(B65*設定!$B$10,0)+設定!$B$11+設定!$B$12)</f>
        <v/>
      </c>
      <c r="J65" s="39" t="str">
        <f aca="false">IF(B65="","",B65-G65-H65-I65)</f>
        <v/>
      </c>
      <c r="K65" s="40" t="str">
        <f aca="false">IF(B65="","",IFERROR(J65/B65,""))</f>
        <v/>
      </c>
      <c r="L65" s="40" t="str">
        <f aca="false">IF(B65="","",IFERROR(J65/(G65+H65),""))</f>
        <v/>
      </c>
      <c r="M65" s="28" t="str">
        <f aca="false">IF(B65="","",IF(J65&lt;=0,"赤字",ROUNDUP(設定!$B$3/J65,0)))</f>
        <v/>
      </c>
      <c r="N65" s="28" t="str">
        <f aca="false">IF(B65="","",IFERROR(ROUNDDOWN(設定!$B$4/(G65+H65),0),""))</f>
        <v/>
      </c>
      <c r="O65" s="9"/>
      <c r="P65" s="29" t="str">
        <f aca="false">IF(B65="","",IF(J65&lt;=0,"× 赤字",IF(AND(K65&gt;=設定!$B$22,J65&gt;=設定!$B$23),IF(AND(O65&lt;&gt;"",N65&lt;O65),"△ 予算不足","○ OK"),"△ 利益薄い")))</f>
        <v/>
      </c>
    </row>
    <row r="66" customFormat="false" ht="15" hidden="false" customHeight="true" outlineLevel="0" collapsed="false">
      <c r="A66" s="22"/>
      <c r="B66" s="9"/>
      <c r="C66" s="38"/>
      <c r="D66" s="38"/>
      <c r="E66" s="9"/>
      <c r="F66" s="9"/>
      <c r="G66" s="28" t="str">
        <f aca="false">IF(B66="","",(C66+D66)*設定!$B$6*(1+設定!$B$7)+E66+F66)</f>
        <v/>
      </c>
      <c r="H66" s="28" t="str">
        <f aca="false">IF(B66="","",ROUND(G66*設定!$B$8+G66*(1+設定!$B$8)*設定!$B$9,0))</f>
        <v/>
      </c>
      <c r="I66" s="28" t="str">
        <f aca="false">IF(B66="","",ROUND(B66*設定!$B$10,0)+設定!$B$11+設定!$B$12)</f>
        <v/>
      </c>
      <c r="J66" s="39" t="str">
        <f aca="false">IF(B66="","",B66-G66-H66-I66)</f>
        <v/>
      </c>
      <c r="K66" s="40" t="str">
        <f aca="false">IF(B66="","",IFERROR(J66/B66,""))</f>
        <v/>
      </c>
      <c r="L66" s="40" t="str">
        <f aca="false">IF(B66="","",IFERROR(J66/(G66+H66),""))</f>
        <v/>
      </c>
      <c r="M66" s="28" t="str">
        <f aca="false">IF(B66="","",IF(J66&lt;=0,"赤字",ROUNDUP(設定!$B$3/J66,0)))</f>
        <v/>
      </c>
      <c r="N66" s="28" t="str">
        <f aca="false">IF(B66="","",IFERROR(ROUNDDOWN(設定!$B$4/(G66+H66),0),""))</f>
        <v/>
      </c>
      <c r="O66" s="9"/>
      <c r="P66" s="29" t="str">
        <f aca="false">IF(B66="","",IF(J66&lt;=0,"× 赤字",IF(AND(K66&gt;=設定!$B$22,J66&gt;=設定!$B$23),IF(AND(O66&lt;&gt;"",N66&lt;O66),"△ 予算不足","○ OK"),"△ 利益薄い")))</f>
        <v/>
      </c>
    </row>
    <row r="67" customFormat="false" ht="15" hidden="false" customHeight="true" outlineLevel="0" collapsed="false">
      <c r="A67" s="22"/>
      <c r="B67" s="9"/>
      <c r="C67" s="38"/>
      <c r="D67" s="38"/>
      <c r="E67" s="9"/>
      <c r="F67" s="9"/>
      <c r="G67" s="28" t="str">
        <f aca="false">IF(B67="","",(C67+D67)*設定!$B$6*(1+設定!$B$7)+E67+F67)</f>
        <v/>
      </c>
      <c r="H67" s="28" t="str">
        <f aca="false">IF(B67="","",ROUND(G67*設定!$B$8+G67*(1+設定!$B$8)*設定!$B$9,0))</f>
        <v/>
      </c>
      <c r="I67" s="28" t="str">
        <f aca="false">IF(B67="","",ROUND(B67*設定!$B$10,0)+設定!$B$11+設定!$B$12)</f>
        <v/>
      </c>
      <c r="J67" s="39" t="str">
        <f aca="false">IF(B67="","",B67-G67-H67-I67)</f>
        <v/>
      </c>
      <c r="K67" s="40" t="str">
        <f aca="false">IF(B67="","",IFERROR(J67/B67,""))</f>
        <v/>
      </c>
      <c r="L67" s="40" t="str">
        <f aca="false">IF(B67="","",IFERROR(J67/(G67+H67),""))</f>
        <v/>
      </c>
      <c r="M67" s="28" t="str">
        <f aca="false">IF(B67="","",IF(J67&lt;=0,"赤字",ROUNDUP(設定!$B$3/J67,0)))</f>
        <v/>
      </c>
      <c r="N67" s="28" t="str">
        <f aca="false">IF(B67="","",IFERROR(ROUNDDOWN(設定!$B$4/(G67+H67),0),""))</f>
        <v/>
      </c>
      <c r="O67" s="9"/>
      <c r="P67" s="29" t="str">
        <f aca="false">IF(B67="","",IF(J67&lt;=0,"× 赤字",IF(AND(K67&gt;=設定!$B$22,J67&gt;=設定!$B$23),IF(AND(O67&lt;&gt;"",N67&lt;O67),"△ 予算不足","○ OK"),"△ 利益薄い")))</f>
        <v/>
      </c>
    </row>
    <row r="68" customFormat="false" ht="15" hidden="false" customHeight="true" outlineLevel="0" collapsed="false">
      <c r="A68" s="22"/>
      <c r="B68" s="9"/>
      <c r="C68" s="38"/>
      <c r="D68" s="38"/>
      <c r="E68" s="9"/>
      <c r="F68" s="9"/>
      <c r="G68" s="28" t="str">
        <f aca="false">IF(B68="","",(C68+D68)*設定!$B$6*(1+設定!$B$7)+E68+F68)</f>
        <v/>
      </c>
      <c r="H68" s="28" t="str">
        <f aca="false">IF(B68="","",ROUND(G68*設定!$B$8+G68*(1+設定!$B$8)*設定!$B$9,0))</f>
        <v/>
      </c>
      <c r="I68" s="28" t="str">
        <f aca="false">IF(B68="","",ROUND(B68*設定!$B$10,0)+設定!$B$11+設定!$B$12)</f>
        <v/>
      </c>
      <c r="J68" s="39" t="str">
        <f aca="false">IF(B68="","",B68-G68-H68-I68)</f>
        <v/>
      </c>
      <c r="K68" s="40" t="str">
        <f aca="false">IF(B68="","",IFERROR(J68/B68,""))</f>
        <v/>
      </c>
      <c r="L68" s="40" t="str">
        <f aca="false">IF(B68="","",IFERROR(J68/(G68+H68),""))</f>
        <v/>
      </c>
      <c r="M68" s="28" t="str">
        <f aca="false">IF(B68="","",IF(J68&lt;=0,"赤字",ROUNDUP(設定!$B$3/J68,0)))</f>
        <v/>
      </c>
      <c r="N68" s="28" t="str">
        <f aca="false">IF(B68="","",IFERROR(ROUNDDOWN(設定!$B$4/(G68+H68),0),""))</f>
        <v/>
      </c>
      <c r="O68" s="9"/>
      <c r="P68" s="29" t="str">
        <f aca="false">IF(B68="","",IF(J68&lt;=0,"× 赤字",IF(AND(K68&gt;=設定!$B$22,J68&gt;=設定!$B$23),IF(AND(O68&lt;&gt;"",N68&lt;O68),"△ 予算不足","○ OK"),"△ 利益薄い")))</f>
        <v/>
      </c>
    </row>
    <row r="69" customFormat="false" ht="15" hidden="false" customHeight="true" outlineLevel="0" collapsed="false">
      <c r="A69" s="22"/>
      <c r="B69" s="9"/>
      <c r="C69" s="38"/>
      <c r="D69" s="38"/>
      <c r="E69" s="9"/>
      <c r="F69" s="9"/>
      <c r="G69" s="28" t="str">
        <f aca="false">IF(B69="","",(C69+D69)*設定!$B$6*(1+設定!$B$7)+E69+F69)</f>
        <v/>
      </c>
      <c r="H69" s="28" t="str">
        <f aca="false">IF(B69="","",ROUND(G69*設定!$B$8+G69*(1+設定!$B$8)*設定!$B$9,0))</f>
        <v/>
      </c>
      <c r="I69" s="28" t="str">
        <f aca="false">IF(B69="","",ROUND(B69*設定!$B$10,0)+設定!$B$11+設定!$B$12)</f>
        <v/>
      </c>
      <c r="J69" s="39" t="str">
        <f aca="false">IF(B69="","",B69-G69-H69-I69)</f>
        <v/>
      </c>
      <c r="K69" s="40" t="str">
        <f aca="false">IF(B69="","",IFERROR(J69/B69,""))</f>
        <v/>
      </c>
      <c r="L69" s="40" t="str">
        <f aca="false">IF(B69="","",IFERROR(J69/(G69+H69),""))</f>
        <v/>
      </c>
      <c r="M69" s="28" t="str">
        <f aca="false">IF(B69="","",IF(J69&lt;=0,"赤字",ROUNDUP(設定!$B$3/J69,0)))</f>
        <v/>
      </c>
      <c r="N69" s="28" t="str">
        <f aca="false">IF(B69="","",IFERROR(ROUNDDOWN(設定!$B$4/(G69+H69),0),""))</f>
        <v/>
      </c>
      <c r="O69" s="9"/>
      <c r="P69" s="29" t="str">
        <f aca="false">IF(B69="","",IF(J69&lt;=0,"× 赤字",IF(AND(K69&gt;=設定!$B$22,J69&gt;=設定!$B$23),IF(AND(O69&lt;&gt;"",N69&lt;O69),"△ 予算不足","○ OK"),"△ 利益薄い")))</f>
        <v/>
      </c>
    </row>
    <row r="70" customFormat="false" ht="15" hidden="false" customHeight="true" outlineLevel="0" collapsed="false">
      <c r="A70" s="22"/>
      <c r="B70" s="9"/>
      <c r="C70" s="38"/>
      <c r="D70" s="38"/>
      <c r="E70" s="9"/>
      <c r="F70" s="9"/>
      <c r="G70" s="28" t="str">
        <f aca="false">IF(B70="","",(C70+D70)*設定!$B$6*(1+設定!$B$7)+E70+F70)</f>
        <v/>
      </c>
      <c r="H70" s="28" t="str">
        <f aca="false">IF(B70="","",ROUND(G70*設定!$B$8+G70*(1+設定!$B$8)*設定!$B$9,0))</f>
        <v/>
      </c>
      <c r="I70" s="28" t="str">
        <f aca="false">IF(B70="","",ROUND(B70*設定!$B$10,0)+設定!$B$11+設定!$B$12)</f>
        <v/>
      </c>
      <c r="J70" s="39" t="str">
        <f aca="false">IF(B70="","",B70-G70-H70-I70)</f>
        <v/>
      </c>
      <c r="K70" s="40" t="str">
        <f aca="false">IF(B70="","",IFERROR(J70/B70,""))</f>
        <v/>
      </c>
      <c r="L70" s="40" t="str">
        <f aca="false">IF(B70="","",IFERROR(J70/(G70+H70),""))</f>
        <v/>
      </c>
      <c r="M70" s="28" t="str">
        <f aca="false">IF(B70="","",IF(J70&lt;=0,"赤字",ROUNDUP(設定!$B$3/J70,0)))</f>
        <v/>
      </c>
      <c r="N70" s="28" t="str">
        <f aca="false">IF(B70="","",IFERROR(ROUNDDOWN(設定!$B$4/(G70+H70),0),""))</f>
        <v/>
      </c>
      <c r="O70" s="9"/>
      <c r="P70" s="29" t="str">
        <f aca="false">IF(B70="","",IF(J70&lt;=0,"× 赤字",IF(AND(K70&gt;=設定!$B$22,J70&gt;=設定!$B$23),IF(AND(O70&lt;&gt;"",N70&lt;O70),"△ 予算不足","○ OK"),"△ 利益薄い")))</f>
        <v/>
      </c>
    </row>
    <row r="71" customFormat="false" ht="15" hidden="false" customHeight="true" outlineLevel="0" collapsed="false">
      <c r="A71" s="22"/>
      <c r="B71" s="9"/>
      <c r="C71" s="38"/>
      <c r="D71" s="38"/>
      <c r="E71" s="9"/>
      <c r="F71" s="9"/>
      <c r="G71" s="28" t="str">
        <f aca="false">IF(B71="","",(C71+D71)*設定!$B$6*(1+設定!$B$7)+E71+F71)</f>
        <v/>
      </c>
      <c r="H71" s="28" t="str">
        <f aca="false">IF(B71="","",ROUND(G71*設定!$B$8+G71*(1+設定!$B$8)*設定!$B$9,0))</f>
        <v/>
      </c>
      <c r="I71" s="28" t="str">
        <f aca="false">IF(B71="","",ROUND(B71*設定!$B$10,0)+設定!$B$11+設定!$B$12)</f>
        <v/>
      </c>
      <c r="J71" s="39" t="str">
        <f aca="false">IF(B71="","",B71-G71-H71-I71)</f>
        <v/>
      </c>
      <c r="K71" s="40" t="str">
        <f aca="false">IF(B71="","",IFERROR(J71/B71,""))</f>
        <v/>
      </c>
      <c r="L71" s="40" t="str">
        <f aca="false">IF(B71="","",IFERROR(J71/(G71+H71),""))</f>
        <v/>
      </c>
      <c r="M71" s="28" t="str">
        <f aca="false">IF(B71="","",IF(J71&lt;=0,"赤字",ROUNDUP(設定!$B$3/J71,0)))</f>
        <v/>
      </c>
      <c r="N71" s="28" t="str">
        <f aca="false">IF(B71="","",IFERROR(ROUNDDOWN(設定!$B$4/(G71+H71),0),""))</f>
        <v/>
      </c>
      <c r="O71" s="9"/>
      <c r="P71" s="29" t="str">
        <f aca="false">IF(B71="","",IF(J71&lt;=0,"× 赤字",IF(AND(K71&gt;=設定!$B$22,J71&gt;=設定!$B$23),IF(AND(O71&lt;&gt;"",N71&lt;O71),"△ 予算不足","○ OK"),"△ 利益薄い")))</f>
        <v/>
      </c>
    </row>
    <row r="72" customFormat="false" ht="15" hidden="false" customHeight="true" outlineLevel="0" collapsed="false">
      <c r="A72" s="22"/>
      <c r="B72" s="9"/>
      <c r="C72" s="38"/>
      <c r="D72" s="38"/>
      <c r="E72" s="9"/>
      <c r="F72" s="9"/>
      <c r="G72" s="28" t="str">
        <f aca="false">IF(B72="","",(C72+D72)*設定!$B$6*(1+設定!$B$7)+E72+F72)</f>
        <v/>
      </c>
      <c r="H72" s="28" t="str">
        <f aca="false">IF(B72="","",ROUND(G72*設定!$B$8+G72*(1+設定!$B$8)*設定!$B$9,0))</f>
        <v/>
      </c>
      <c r="I72" s="28" t="str">
        <f aca="false">IF(B72="","",ROUND(B72*設定!$B$10,0)+設定!$B$11+設定!$B$12)</f>
        <v/>
      </c>
      <c r="J72" s="39" t="str">
        <f aca="false">IF(B72="","",B72-G72-H72-I72)</f>
        <v/>
      </c>
      <c r="K72" s="40" t="str">
        <f aca="false">IF(B72="","",IFERROR(J72/B72,""))</f>
        <v/>
      </c>
      <c r="L72" s="40" t="str">
        <f aca="false">IF(B72="","",IFERROR(J72/(G72+H72),""))</f>
        <v/>
      </c>
      <c r="M72" s="28" t="str">
        <f aca="false">IF(B72="","",IF(J72&lt;=0,"赤字",ROUNDUP(設定!$B$3/J72,0)))</f>
        <v/>
      </c>
      <c r="N72" s="28" t="str">
        <f aca="false">IF(B72="","",IFERROR(ROUNDDOWN(設定!$B$4/(G72+H72),0),""))</f>
        <v/>
      </c>
      <c r="O72" s="9"/>
      <c r="P72" s="29" t="str">
        <f aca="false">IF(B72="","",IF(J72&lt;=0,"× 赤字",IF(AND(K72&gt;=設定!$B$22,J72&gt;=設定!$B$23),IF(AND(O72&lt;&gt;"",N72&lt;O72),"△ 予算不足","○ OK"),"△ 利益薄い")))</f>
        <v/>
      </c>
    </row>
    <row r="73" customFormat="false" ht="15" hidden="false" customHeight="true" outlineLevel="0" collapsed="false">
      <c r="A73" s="22"/>
      <c r="B73" s="9"/>
      <c r="C73" s="38"/>
      <c r="D73" s="38"/>
      <c r="E73" s="9"/>
      <c r="F73" s="9"/>
      <c r="G73" s="28" t="str">
        <f aca="false">IF(B73="","",(C73+D73)*設定!$B$6*(1+設定!$B$7)+E73+F73)</f>
        <v/>
      </c>
      <c r="H73" s="28" t="str">
        <f aca="false">IF(B73="","",ROUND(G73*設定!$B$8+G73*(1+設定!$B$8)*設定!$B$9,0))</f>
        <v/>
      </c>
      <c r="I73" s="28" t="str">
        <f aca="false">IF(B73="","",ROUND(B73*設定!$B$10,0)+設定!$B$11+設定!$B$12)</f>
        <v/>
      </c>
      <c r="J73" s="39" t="str">
        <f aca="false">IF(B73="","",B73-G73-H73-I73)</f>
        <v/>
      </c>
      <c r="K73" s="40" t="str">
        <f aca="false">IF(B73="","",IFERROR(J73/B73,""))</f>
        <v/>
      </c>
      <c r="L73" s="40" t="str">
        <f aca="false">IF(B73="","",IFERROR(J73/(G73+H73),""))</f>
        <v/>
      </c>
      <c r="M73" s="28" t="str">
        <f aca="false">IF(B73="","",IF(J73&lt;=0,"赤字",ROUNDUP(設定!$B$3/J73,0)))</f>
        <v/>
      </c>
      <c r="N73" s="28" t="str">
        <f aca="false">IF(B73="","",IFERROR(ROUNDDOWN(設定!$B$4/(G73+H73),0),""))</f>
        <v/>
      </c>
      <c r="O73" s="9"/>
      <c r="P73" s="29" t="str">
        <f aca="false">IF(B73="","",IF(J73&lt;=0,"× 赤字",IF(AND(K73&gt;=設定!$B$22,J73&gt;=設定!$B$23),IF(AND(O73&lt;&gt;"",N73&lt;O73),"△ 予算不足","○ OK"),"△ 利益薄い")))</f>
        <v/>
      </c>
    </row>
    <row r="74" customFormat="false" ht="15" hidden="false" customHeight="true" outlineLevel="0" collapsed="false">
      <c r="A74" s="22"/>
      <c r="B74" s="9"/>
      <c r="C74" s="38"/>
      <c r="D74" s="38"/>
      <c r="E74" s="9"/>
      <c r="F74" s="9"/>
      <c r="G74" s="28" t="str">
        <f aca="false">IF(B74="","",(C74+D74)*設定!$B$6*(1+設定!$B$7)+E74+F74)</f>
        <v/>
      </c>
      <c r="H74" s="28" t="str">
        <f aca="false">IF(B74="","",ROUND(G74*設定!$B$8+G74*(1+設定!$B$8)*設定!$B$9,0))</f>
        <v/>
      </c>
      <c r="I74" s="28" t="str">
        <f aca="false">IF(B74="","",ROUND(B74*設定!$B$10,0)+設定!$B$11+設定!$B$12)</f>
        <v/>
      </c>
      <c r="J74" s="39" t="str">
        <f aca="false">IF(B74="","",B74-G74-H74-I74)</f>
        <v/>
      </c>
      <c r="K74" s="40" t="str">
        <f aca="false">IF(B74="","",IFERROR(J74/B74,""))</f>
        <v/>
      </c>
      <c r="L74" s="40" t="str">
        <f aca="false">IF(B74="","",IFERROR(J74/(G74+H74),""))</f>
        <v/>
      </c>
      <c r="M74" s="28" t="str">
        <f aca="false">IF(B74="","",IF(J74&lt;=0,"赤字",ROUNDUP(設定!$B$3/J74,0)))</f>
        <v/>
      </c>
      <c r="N74" s="28" t="str">
        <f aca="false">IF(B74="","",IFERROR(ROUNDDOWN(設定!$B$4/(G74+H74),0),""))</f>
        <v/>
      </c>
      <c r="O74" s="9"/>
      <c r="P74" s="29" t="str">
        <f aca="false">IF(B74="","",IF(J74&lt;=0,"× 赤字",IF(AND(K74&gt;=設定!$B$22,J74&gt;=設定!$B$23),IF(AND(O74&lt;&gt;"",N74&lt;O74),"△ 予算不足","○ OK"),"△ 利益薄い")))</f>
        <v/>
      </c>
    </row>
    <row r="75" customFormat="false" ht="15" hidden="false" customHeight="true" outlineLevel="0" collapsed="false">
      <c r="A75" s="22"/>
      <c r="B75" s="9"/>
      <c r="C75" s="38"/>
      <c r="D75" s="38"/>
      <c r="E75" s="9"/>
      <c r="F75" s="9"/>
      <c r="G75" s="28" t="str">
        <f aca="false">IF(B75="","",(C75+D75)*設定!$B$6*(1+設定!$B$7)+E75+F75)</f>
        <v/>
      </c>
      <c r="H75" s="28" t="str">
        <f aca="false">IF(B75="","",ROUND(G75*設定!$B$8+G75*(1+設定!$B$8)*設定!$B$9,0))</f>
        <v/>
      </c>
      <c r="I75" s="28" t="str">
        <f aca="false">IF(B75="","",ROUND(B75*設定!$B$10,0)+設定!$B$11+設定!$B$12)</f>
        <v/>
      </c>
      <c r="J75" s="39" t="str">
        <f aca="false">IF(B75="","",B75-G75-H75-I75)</f>
        <v/>
      </c>
      <c r="K75" s="40" t="str">
        <f aca="false">IF(B75="","",IFERROR(J75/B75,""))</f>
        <v/>
      </c>
      <c r="L75" s="40" t="str">
        <f aca="false">IF(B75="","",IFERROR(J75/(G75+H75),""))</f>
        <v/>
      </c>
      <c r="M75" s="28" t="str">
        <f aca="false">IF(B75="","",IF(J75&lt;=0,"赤字",ROUNDUP(設定!$B$3/J75,0)))</f>
        <v/>
      </c>
      <c r="N75" s="28" t="str">
        <f aca="false">IF(B75="","",IFERROR(ROUNDDOWN(設定!$B$4/(G75+H75),0),""))</f>
        <v/>
      </c>
      <c r="O75" s="9"/>
      <c r="P75" s="29" t="str">
        <f aca="false">IF(B75="","",IF(J75&lt;=0,"× 赤字",IF(AND(K75&gt;=設定!$B$22,J75&gt;=設定!$B$23),IF(AND(O75&lt;&gt;"",N75&lt;O75),"△ 予算不足","○ OK"),"△ 利益薄い")))</f>
        <v/>
      </c>
    </row>
    <row r="76" customFormat="false" ht="15" hidden="false" customHeight="true" outlineLevel="0" collapsed="false">
      <c r="A76" s="22"/>
      <c r="B76" s="9"/>
      <c r="C76" s="38"/>
      <c r="D76" s="38"/>
      <c r="E76" s="9"/>
      <c r="F76" s="9"/>
      <c r="G76" s="28" t="str">
        <f aca="false">IF(B76="","",(C76+D76)*設定!$B$6*(1+設定!$B$7)+E76+F76)</f>
        <v/>
      </c>
      <c r="H76" s="28" t="str">
        <f aca="false">IF(B76="","",ROUND(G76*設定!$B$8+G76*(1+設定!$B$8)*設定!$B$9,0))</f>
        <v/>
      </c>
      <c r="I76" s="28" t="str">
        <f aca="false">IF(B76="","",ROUND(B76*設定!$B$10,0)+設定!$B$11+設定!$B$12)</f>
        <v/>
      </c>
      <c r="J76" s="39" t="str">
        <f aca="false">IF(B76="","",B76-G76-H76-I76)</f>
        <v/>
      </c>
      <c r="K76" s="40" t="str">
        <f aca="false">IF(B76="","",IFERROR(J76/B76,""))</f>
        <v/>
      </c>
      <c r="L76" s="40" t="str">
        <f aca="false">IF(B76="","",IFERROR(J76/(G76+H76),""))</f>
        <v/>
      </c>
      <c r="M76" s="28" t="str">
        <f aca="false">IF(B76="","",IF(J76&lt;=0,"赤字",ROUNDUP(設定!$B$3/J76,0)))</f>
        <v/>
      </c>
      <c r="N76" s="28" t="str">
        <f aca="false">IF(B76="","",IFERROR(ROUNDDOWN(設定!$B$4/(G76+H76),0),""))</f>
        <v/>
      </c>
      <c r="O76" s="9"/>
      <c r="P76" s="29" t="str">
        <f aca="false">IF(B76="","",IF(J76&lt;=0,"× 赤字",IF(AND(K76&gt;=設定!$B$22,J76&gt;=設定!$B$23),IF(AND(O76&lt;&gt;"",N76&lt;O76),"△ 予算不足","○ OK"),"△ 利益薄い")))</f>
        <v/>
      </c>
    </row>
    <row r="77" customFormat="false" ht="15" hidden="false" customHeight="true" outlineLevel="0" collapsed="false">
      <c r="A77" s="22"/>
      <c r="B77" s="9"/>
      <c r="C77" s="38"/>
      <c r="D77" s="38"/>
      <c r="E77" s="9"/>
      <c r="F77" s="9"/>
      <c r="G77" s="28" t="str">
        <f aca="false">IF(B77="","",(C77+D77)*設定!$B$6*(1+設定!$B$7)+E77+F77)</f>
        <v/>
      </c>
      <c r="H77" s="28" t="str">
        <f aca="false">IF(B77="","",ROUND(G77*設定!$B$8+G77*(1+設定!$B$8)*設定!$B$9,0))</f>
        <v/>
      </c>
      <c r="I77" s="28" t="str">
        <f aca="false">IF(B77="","",ROUND(B77*設定!$B$10,0)+設定!$B$11+設定!$B$12)</f>
        <v/>
      </c>
      <c r="J77" s="39" t="str">
        <f aca="false">IF(B77="","",B77-G77-H77-I77)</f>
        <v/>
      </c>
      <c r="K77" s="40" t="str">
        <f aca="false">IF(B77="","",IFERROR(J77/B77,""))</f>
        <v/>
      </c>
      <c r="L77" s="40" t="str">
        <f aca="false">IF(B77="","",IFERROR(J77/(G77+H77),""))</f>
        <v/>
      </c>
      <c r="M77" s="28" t="str">
        <f aca="false">IF(B77="","",IF(J77&lt;=0,"赤字",ROUNDUP(設定!$B$3/J77,0)))</f>
        <v/>
      </c>
      <c r="N77" s="28" t="str">
        <f aca="false">IF(B77="","",IFERROR(ROUNDDOWN(設定!$B$4/(G77+H77),0),""))</f>
        <v/>
      </c>
      <c r="O77" s="9"/>
      <c r="P77" s="29" t="str">
        <f aca="false">IF(B77="","",IF(J77&lt;=0,"× 赤字",IF(AND(K77&gt;=設定!$B$22,J77&gt;=設定!$B$23),IF(AND(O77&lt;&gt;"",N77&lt;O77),"△ 予算不足","○ OK"),"△ 利益薄い")))</f>
        <v/>
      </c>
    </row>
    <row r="78" customFormat="false" ht="15" hidden="false" customHeight="true" outlineLevel="0" collapsed="false">
      <c r="A78" s="22"/>
      <c r="B78" s="9"/>
      <c r="C78" s="38"/>
      <c r="D78" s="38"/>
      <c r="E78" s="9"/>
      <c r="F78" s="9"/>
      <c r="G78" s="28" t="str">
        <f aca="false">IF(B78="","",(C78+D78)*設定!$B$6*(1+設定!$B$7)+E78+F78)</f>
        <v/>
      </c>
      <c r="H78" s="28" t="str">
        <f aca="false">IF(B78="","",ROUND(G78*設定!$B$8+G78*(1+設定!$B$8)*設定!$B$9,0))</f>
        <v/>
      </c>
      <c r="I78" s="28" t="str">
        <f aca="false">IF(B78="","",ROUND(B78*設定!$B$10,0)+設定!$B$11+設定!$B$12)</f>
        <v/>
      </c>
      <c r="J78" s="39" t="str">
        <f aca="false">IF(B78="","",B78-G78-H78-I78)</f>
        <v/>
      </c>
      <c r="K78" s="40" t="str">
        <f aca="false">IF(B78="","",IFERROR(J78/B78,""))</f>
        <v/>
      </c>
      <c r="L78" s="40" t="str">
        <f aca="false">IF(B78="","",IFERROR(J78/(G78+H78),""))</f>
        <v/>
      </c>
      <c r="M78" s="28" t="str">
        <f aca="false">IF(B78="","",IF(J78&lt;=0,"赤字",ROUNDUP(設定!$B$3/J78,0)))</f>
        <v/>
      </c>
      <c r="N78" s="28" t="str">
        <f aca="false">IF(B78="","",IFERROR(ROUNDDOWN(設定!$B$4/(G78+H78),0),""))</f>
        <v/>
      </c>
      <c r="O78" s="9"/>
      <c r="P78" s="29" t="str">
        <f aca="false">IF(B78="","",IF(J78&lt;=0,"× 赤字",IF(AND(K78&gt;=設定!$B$22,J78&gt;=設定!$B$23),IF(AND(O78&lt;&gt;"",N78&lt;O78),"△ 予算不足","○ OK"),"△ 利益薄い")))</f>
        <v/>
      </c>
    </row>
    <row r="79" customFormat="false" ht="15" hidden="false" customHeight="true" outlineLevel="0" collapsed="false">
      <c r="A79" s="22"/>
      <c r="B79" s="9"/>
      <c r="C79" s="38"/>
      <c r="D79" s="38"/>
      <c r="E79" s="9"/>
      <c r="F79" s="9"/>
      <c r="G79" s="28" t="str">
        <f aca="false">IF(B79="","",(C79+D79)*設定!$B$6*(1+設定!$B$7)+E79+F79)</f>
        <v/>
      </c>
      <c r="H79" s="28" t="str">
        <f aca="false">IF(B79="","",ROUND(G79*設定!$B$8+G79*(1+設定!$B$8)*設定!$B$9,0))</f>
        <v/>
      </c>
      <c r="I79" s="28" t="str">
        <f aca="false">IF(B79="","",ROUND(B79*設定!$B$10,0)+設定!$B$11+設定!$B$12)</f>
        <v/>
      </c>
      <c r="J79" s="39" t="str">
        <f aca="false">IF(B79="","",B79-G79-H79-I79)</f>
        <v/>
      </c>
      <c r="K79" s="40" t="str">
        <f aca="false">IF(B79="","",IFERROR(J79/B79,""))</f>
        <v/>
      </c>
      <c r="L79" s="40" t="str">
        <f aca="false">IF(B79="","",IFERROR(J79/(G79+H79),""))</f>
        <v/>
      </c>
      <c r="M79" s="28" t="str">
        <f aca="false">IF(B79="","",IF(J79&lt;=0,"赤字",ROUNDUP(設定!$B$3/J79,0)))</f>
        <v/>
      </c>
      <c r="N79" s="28" t="str">
        <f aca="false">IF(B79="","",IFERROR(ROUNDDOWN(設定!$B$4/(G79+H79),0),""))</f>
        <v/>
      </c>
      <c r="O79" s="9"/>
      <c r="P79" s="29" t="str">
        <f aca="false">IF(B79="","",IF(J79&lt;=0,"× 赤字",IF(AND(K79&gt;=設定!$B$22,J79&gt;=設定!$B$23),IF(AND(O79&lt;&gt;"",N79&lt;O79),"△ 予算不足","○ OK"),"△ 利益薄い")))</f>
        <v/>
      </c>
    </row>
    <row r="80" customFormat="false" ht="15" hidden="false" customHeight="true" outlineLevel="0" collapsed="false">
      <c r="A80" s="22"/>
      <c r="B80" s="9"/>
      <c r="C80" s="38"/>
      <c r="D80" s="38"/>
      <c r="E80" s="9"/>
      <c r="F80" s="9"/>
      <c r="G80" s="28" t="str">
        <f aca="false">IF(B80="","",(C80+D80)*設定!$B$6*(1+設定!$B$7)+E80+F80)</f>
        <v/>
      </c>
      <c r="H80" s="28" t="str">
        <f aca="false">IF(B80="","",ROUND(G80*設定!$B$8+G80*(1+設定!$B$8)*設定!$B$9,0))</f>
        <v/>
      </c>
      <c r="I80" s="28" t="str">
        <f aca="false">IF(B80="","",ROUND(B80*設定!$B$10,0)+設定!$B$11+設定!$B$12)</f>
        <v/>
      </c>
      <c r="J80" s="39" t="str">
        <f aca="false">IF(B80="","",B80-G80-H80-I80)</f>
        <v/>
      </c>
      <c r="K80" s="40" t="str">
        <f aca="false">IF(B80="","",IFERROR(J80/B80,""))</f>
        <v/>
      </c>
      <c r="L80" s="40" t="str">
        <f aca="false">IF(B80="","",IFERROR(J80/(G80+H80),""))</f>
        <v/>
      </c>
      <c r="M80" s="28" t="str">
        <f aca="false">IF(B80="","",IF(J80&lt;=0,"赤字",ROUNDUP(設定!$B$3/J80,0)))</f>
        <v/>
      </c>
      <c r="N80" s="28" t="str">
        <f aca="false">IF(B80="","",IFERROR(ROUNDDOWN(設定!$B$4/(G80+H80),0),""))</f>
        <v/>
      </c>
      <c r="O80" s="9"/>
      <c r="P80" s="29" t="str">
        <f aca="false">IF(B80="","",IF(J80&lt;=0,"× 赤字",IF(AND(K80&gt;=設定!$B$22,J80&gt;=設定!$B$23),IF(AND(O80&lt;&gt;"",N80&lt;O80),"△ 予算不足","○ OK"),"△ 利益薄い")))</f>
        <v/>
      </c>
    </row>
    <row r="81" customFormat="false" ht="15" hidden="false" customHeight="true" outlineLevel="0" collapsed="false">
      <c r="A81" s="22"/>
      <c r="B81" s="9"/>
      <c r="C81" s="38"/>
      <c r="D81" s="38"/>
      <c r="E81" s="9"/>
      <c r="F81" s="9"/>
      <c r="G81" s="28" t="str">
        <f aca="false">IF(B81="","",(C81+D81)*設定!$B$6*(1+設定!$B$7)+E81+F81)</f>
        <v/>
      </c>
      <c r="H81" s="28" t="str">
        <f aca="false">IF(B81="","",ROUND(G81*設定!$B$8+G81*(1+設定!$B$8)*設定!$B$9,0))</f>
        <v/>
      </c>
      <c r="I81" s="28" t="str">
        <f aca="false">IF(B81="","",ROUND(B81*設定!$B$10,0)+設定!$B$11+設定!$B$12)</f>
        <v/>
      </c>
      <c r="J81" s="39" t="str">
        <f aca="false">IF(B81="","",B81-G81-H81-I81)</f>
        <v/>
      </c>
      <c r="K81" s="40" t="str">
        <f aca="false">IF(B81="","",IFERROR(J81/B81,""))</f>
        <v/>
      </c>
      <c r="L81" s="40" t="str">
        <f aca="false">IF(B81="","",IFERROR(J81/(G81+H81),""))</f>
        <v/>
      </c>
      <c r="M81" s="28" t="str">
        <f aca="false">IF(B81="","",IF(J81&lt;=0,"赤字",ROUNDUP(設定!$B$3/J81,0)))</f>
        <v/>
      </c>
      <c r="N81" s="28" t="str">
        <f aca="false">IF(B81="","",IFERROR(ROUNDDOWN(設定!$B$4/(G81+H81),0),""))</f>
        <v/>
      </c>
      <c r="O81" s="9"/>
      <c r="P81" s="29" t="str">
        <f aca="false">IF(B81="","",IF(J81&lt;=0,"× 赤字",IF(AND(K81&gt;=設定!$B$22,J81&gt;=設定!$B$23),IF(AND(O81&lt;&gt;"",N81&lt;O81),"△ 予算不足","○ OK"),"△ 利益薄い")))</f>
        <v/>
      </c>
    </row>
    <row r="82" customFormat="false" ht="15" hidden="false" customHeight="true" outlineLevel="0" collapsed="false">
      <c r="A82" s="22"/>
      <c r="B82" s="9"/>
      <c r="C82" s="38"/>
      <c r="D82" s="38"/>
      <c r="E82" s="9"/>
      <c r="F82" s="9"/>
      <c r="G82" s="28" t="str">
        <f aca="false">IF(B82="","",(C82+D82)*設定!$B$6*(1+設定!$B$7)+E82+F82)</f>
        <v/>
      </c>
      <c r="H82" s="28" t="str">
        <f aca="false">IF(B82="","",ROUND(G82*設定!$B$8+G82*(1+設定!$B$8)*設定!$B$9,0))</f>
        <v/>
      </c>
      <c r="I82" s="28" t="str">
        <f aca="false">IF(B82="","",ROUND(B82*設定!$B$10,0)+設定!$B$11+設定!$B$12)</f>
        <v/>
      </c>
      <c r="J82" s="39" t="str">
        <f aca="false">IF(B82="","",B82-G82-H82-I82)</f>
        <v/>
      </c>
      <c r="K82" s="40" t="str">
        <f aca="false">IF(B82="","",IFERROR(J82/B82,""))</f>
        <v/>
      </c>
      <c r="L82" s="40" t="str">
        <f aca="false">IF(B82="","",IFERROR(J82/(G82+H82),""))</f>
        <v/>
      </c>
      <c r="M82" s="28" t="str">
        <f aca="false">IF(B82="","",IF(J82&lt;=0,"赤字",ROUNDUP(設定!$B$3/J82,0)))</f>
        <v/>
      </c>
      <c r="N82" s="28" t="str">
        <f aca="false">IF(B82="","",IFERROR(ROUNDDOWN(設定!$B$4/(G82+H82),0),""))</f>
        <v/>
      </c>
      <c r="O82" s="9"/>
      <c r="P82" s="29" t="str">
        <f aca="false">IF(B82="","",IF(J82&lt;=0,"× 赤字",IF(AND(K82&gt;=設定!$B$22,J82&gt;=設定!$B$23),IF(AND(O82&lt;&gt;"",N82&lt;O82),"△ 予算不足","○ OK"),"△ 利益薄い")))</f>
        <v/>
      </c>
    </row>
    <row r="83" customFormat="false" ht="15" hidden="false" customHeight="true" outlineLevel="0" collapsed="false">
      <c r="A83" s="22"/>
      <c r="B83" s="9"/>
      <c r="C83" s="38"/>
      <c r="D83" s="38"/>
      <c r="E83" s="9"/>
      <c r="F83" s="9"/>
      <c r="G83" s="28" t="str">
        <f aca="false">IF(B83="","",(C83+D83)*設定!$B$6*(1+設定!$B$7)+E83+F83)</f>
        <v/>
      </c>
      <c r="H83" s="28" t="str">
        <f aca="false">IF(B83="","",ROUND(G83*設定!$B$8+G83*(1+設定!$B$8)*設定!$B$9,0))</f>
        <v/>
      </c>
      <c r="I83" s="28" t="str">
        <f aca="false">IF(B83="","",ROUND(B83*設定!$B$10,0)+設定!$B$11+設定!$B$12)</f>
        <v/>
      </c>
      <c r="J83" s="39" t="str">
        <f aca="false">IF(B83="","",B83-G83-H83-I83)</f>
        <v/>
      </c>
      <c r="K83" s="40" t="str">
        <f aca="false">IF(B83="","",IFERROR(J83/B83,""))</f>
        <v/>
      </c>
      <c r="L83" s="40" t="str">
        <f aca="false">IF(B83="","",IFERROR(J83/(G83+H83),""))</f>
        <v/>
      </c>
      <c r="M83" s="28" t="str">
        <f aca="false">IF(B83="","",IF(J83&lt;=0,"赤字",ROUNDUP(設定!$B$3/J83,0)))</f>
        <v/>
      </c>
      <c r="N83" s="28" t="str">
        <f aca="false">IF(B83="","",IFERROR(ROUNDDOWN(設定!$B$4/(G83+H83),0),""))</f>
        <v/>
      </c>
      <c r="O83" s="9"/>
      <c r="P83" s="29" t="str">
        <f aca="false">IF(B83="","",IF(J83&lt;=0,"× 赤字",IF(AND(K83&gt;=設定!$B$22,J83&gt;=設定!$B$23),IF(AND(O83&lt;&gt;"",N83&lt;O83),"△ 予算不足","○ OK"),"△ 利益薄い")))</f>
        <v/>
      </c>
    </row>
    <row r="84" customFormat="false" ht="15" hidden="false" customHeight="true" outlineLevel="0" collapsed="false">
      <c r="A84" s="22"/>
      <c r="B84" s="9"/>
      <c r="C84" s="38"/>
      <c r="D84" s="38"/>
      <c r="E84" s="9"/>
      <c r="F84" s="9"/>
      <c r="G84" s="28" t="str">
        <f aca="false">IF(B84="","",(C84+D84)*設定!$B$6*(1+設定!$B$7)+E84+F84)</f>
        <v/>
      </c>
      <c r="H84" s="28" t="str">
        <f aca="false">IF(B84="","",ROUND(G84*設定!$B$8+G84*(1+設定!$B$8)*設定!$B$9,0))</f>
        <v/>
      </c>
      <c r="I84" s="28" t="str">
        <f aca="false">IF(B84="","",ROUND(B84*設定!$B$10,0)+設定!$B$11+設定!$B$12)</f>
        <v/>
      </c>
      <c r="J84" s="39" t="str">
        <f aca="false">IF(B84="","",B84-G84-H84-I84)</f>
        <v/>
      </c>
      <c r="K84" s="40" t="str">
        <f aca="false">IF(B84="","",IFERROR(J84/B84,""))</f>
        <v/>
      </c>
      <c r="L84" s="40" t="str">
        <f aca="false">IF(B84="","",IFERROR(J84/(G84+H84),""))</f>
        <v/>
      </c>
      <c r="M84" s="28" t="str">
        <f aca="false">IF(B84="","",IF(J84&lt;=0,"赤字",ROUNDUP(設定!$B$3/J84,0)))</f>
        <v/>
      </c>
      <c r="N84" s="28" t="str">
        <f aca="false">IF(B84="","",IFERROR(ROUNDDOWN(設定!$B$4/(G84+H84),0),""))</f>
        <v/>
      </c>
      <c r="O84" s="9"/>
      <c r="P84" s="29" t="str">
        <f aca="false">IF(B84="","",IF(J84&lt;=0,"× 赤字",IF(AND(K84&gt;=設定!$B$22,J84&gt;=設定!$B$23),IF(AND(O84&lt;&gt;"",N84&lt;O84),"△ 予算不足","○ OK"),"△ 利益薄い")))</f>
        <v/>
      </c>
    </row>
    <row r="85" customFormat="false" ht="15" hidden="false" customHeight="true" outlineLevel="0" collapsed="false">
      <c r="A85" s="22"/>
      <c r="B85" s="9"/>
      <c r="C85" s="38"/>
      <c r="D85" s="38"/>
      <c r="E85" s="9"/>
      <c r="F85" s="9"/>
      <c r="G85" s="28" t="str">
        <f aca="false">IF(B85="","",(C85+D85)*設定!$B$6*(1+設定!$B$7)+E85+F85)</f>
        <v/>
      </c>
      <c r="H85" s="28" t="str">
        <f aca="false">IF(B85="","",ROUND(G85*設定!$B$8+G85*(1+設定!$B$8)*設定!$B$9,0))</f>
        <v/>
      </c>
      <c r="I85" s="28" t="str">
        <f aca="false">IF(B85="","",ROUND(B85*設定!$B$10,0)+設定!$B$11+設定!$B$12)</f>
        <v/>
      </c>
      <c r="J85" s="39" t="str">
        <f aca="false">IF(B85="","",B85-G85-H85-I85)</f>
        <v/>
      </c>
      <c r="K85" s="40" t="str">
        <f aca="false">IF(B85="","",IFERROR(J85/B85,""))</f>
        <v/>
      </c>
      <c r="L85" s="40" t="str">
        <f aca="false">IF(B85="","",IFERROR(J85/(G85+H85),""))</f>
        <v/>
      </c>
      <c r="M85" s="28" t="str">
        <f aca="false">IF(B85="","",IF(J85&lt;=0,"赤字",ROUNDUP(設定!$B$3/J85,0)))</f>
        <v/>
      </c>
      <c r="N85" s="28" t="str">
        <f aca="false">IF(B85="","",IFERROR(ROUNDDOWN(設定!$B$4/(G85+H85),0),""))</f>
        <v/>
      </c>
      <c r="O85" s="9"/>
      <c r="P85" s="29" t="str">
        <f aca="false">IF(B85="","",IF(J85&lt;=0,"× 赤字",IF(AND(K85&gt;=設定!$B$22,J85&gt;=設定!$B$23),IF(AND(O85&lt;&gt;"",N85&lt;O85),"△ 予算不足","○ OK"),"△ 利益薄い")))</f>
        <v/>
      </c>
    </row>
    <row r="86" customFormat="false" ht="15" hidden="false" customHeight="true" outlineLevel="0" collapsed="false">
      <c r="A86" s="22"/>
      <c r="B86" s="9"/>
      <c r="C86" s="38"/>
      <c r="D86" s="38"/>
      <c r="E86" s="9"/>
      <c r="F86" s="9"/>
      <c r="G86" s="28" t="str">
        <f aca="false">IF(B86="","",(C86+D86)*設定!$B$6*(1+設定!$B$7)+E86+F86)</f>
        <v/>
      </c>
      <c r="H86" s="28" t="str">
        <f aca="false">IF(B86="","",ROUND(G86*設定!$B$8+G86*(1+設定!$B$8)*設定!$B$9,0))</f>
        <v/>
      </c>
      <c r="I86" s="28" t="str">
        <f aca="false">IF(B86="","",ROUND(B86*設定!$B$10,0)+設定!$B$11+設定!$B$12)</f>
        <v/>
      </c>
      <c r="J86" s="39" t="str">
        <f aca="false">IF(B86="","",B86-G86-H86-I86)</f>
        <v/>
      </c>
      <c r="K86" s="40" t="str">
        <f aca="false">IF(B86="","",IFERROR(J86/B86,""))</f>
        <v/>
      </c>
      <c r="L86" s="40" t="str">
        <f aca="false">IF(B86="","",IFERROR(J86/(G86+H86),""))</f>
        <v/>
      </c>
      <c r="M86" s="28" t="str">
        <f aca="false">IF(B86="","",IF(J86&lt;=0,"赤字",ROUNDUP(設定!$B$3/J86,0)))</f>
        <v/>
      </c>
      <c r="N86" s="28" t="str">
        <f aca="false">IF(B86="","",IFERROR(ROUNDDOWN(設定!$B$4/(G86+H86),0),""))</f>
        <v/>
      </c>
      <c r="O86" s="9"/>
      <c r="P86" s="29" t="str">
        <f aca="false">IF(B86="","",IF(J86&lt;=0,"× 赤字",IF(AND(K86&gt;=設定!$B$22,J86&gt;=設定!$B$23),IF(AND(O86&lt;&gt;"",N86&lt;O86),"△ 予算不足","○ OK"),"△ 利益薄い")))</f>
        <v/>
      </c>
    </row>
    <row r="87" customFormat="false" ht="15" hidden="false" customHeight="true" outlineLevel="0" collapsed="false">
      <c r="A87" s="22"/>
      <c r="B87" s="9"/>
      <c r="C87" s="38"/>
      <c r="D87" s="38"/>
      <c r="E87" s="9"/>
      <c r="F87" s="9"/>
      <c r="G87" s="28" t="str">
        <f aca="false">IF(B87="","",(C87+D87)*設定!$B$6*(1+設定!$B$7)+E87+F87)</f>
        <v/>
      </c>
      <c r="H87" s="28" t="str">
        <f aca="false">IF(B87="","",ROUND(G87*設定!$B$8+G87*(1+設定!$B$8)*設定!$B$9,0))</f>
        <v/>
      </c>
      <c r="I87" s="28" t="str">
        <f aca="false">IF(B87="","",ROUND(B87*設定!$B$10,0)+設定!$B$11+設定!$B$12)</f>
        <v/>
      </c>
      <c r="J87" s="39" t="str">
        <f aca="false">IF(B87="","",B87-G87-H87-I87)</f>
        <v/>
      </c>
      <c r="K87" s="40" t="str">
        <f aca="false">IF(B87="","",IFERROR(J87/B87,""))</f>
        <v/>
      </c>
      <c r="L87" s="40" t="str">
        <f aca="false">IF(B87="","",IFERROR(J87/(G87+H87),""))</f>
        <v/>
      </c>
      <c r="M87" s="28" t="str">
        <f aca="false">IF(B87="","",IF(J87&lt;=0,"赤字",ROUNDUP(設定!$B$3/J87,0)))</f>
        <v/>
      </c>
      <c r="N87" s="28" t="str">
        <f aca="false">IF(B87="","",IFERROR(ROUNDDOWN(設定!$B$4/(G87+H87),0),""))</f>
        <v/>
      </c>
      <c r="O87" s="9"/>
      <c r="P87" s="29" t="str">
        <f aca="false">IF(B87="","",IF(J87&lt;=0,"× 赤字",IF(AND(K87&gt;=設定!$B$22,J87&gt;=設定!$B$23),IF(AND(O87&lt;&gt;"",N87&lt;O87),"△ 予算不足","○ OK"),"△ 利益薄い")))</f>
        <v/>
      </c>
    </row>
    <row r="88" customFormat="false" ht="15" hidden="false" customHeight="true" outlineLevel="0" collapsed="false">
      <c r="A88" s="22"/>
      <c r="B88" s="9"/>
      <c r="C88" s="38"/>
      <c r="D88" s="38"/>
      <c r="E88" s="9"/>
      <c r="F88" s="9"/>
      <c r="G88" s="28" t="str">
        <f aca="false">IF(B88="","",(C88+D88)*設定!$B$6*(1+設定!$B$7)+E88+F88)</f>
        <v/>
      </c>
      <c r="H88" s="28" t="str">
        <f aca="false">IF(B88="","",ROUND(G88*設定!$B$8+G88*(1+設定!$B$8)*設定!$B$9,0))</f>
        <v/>
      </c>
      <c r="I88" s="28" t="str">
        <f aca="false">IF(B88="","",ROUND(B88*設定!$B$10,0)+設定!$B$11+設定!$B$12)</f>
        <v/>
      </c>
      <c r="J88" s="39" t="str">
        <f aca="false">IF(B88="","",B88-G88-H88-I88)</f>
        <v/>
      </c>
      <c r="K88" s="40" t="str">
        <f aca="false">IF(B88="","",IFERROR(J88/B88,""))</f>
        <v/>
      </c>
      <c r="L88" s="40" t="str">
        <f aca="false">IF(B88="","",IFERROR(J88/(G88+H88),""))</f>
        <v/>
      </c>
      <c r="M88" s="28" t="str">
        <f aca="false">IF(B88="","",IF(J88&lt;=0,"赤字",ROUNDUP(設定!$B$3/J88,0)))</f>
        <v/>
      </c>
      <c r="N88" s="28" t="str">
        <f aca="false">IF(B88="","",IFERROR(ROUNDDOWN(設定!$B$4/(G88+H88),0),""))</f>
        <v/>
      </c>
      <c r="O88" s="9"/>
      <c r="P88" s="29" t="str">
        <f aca="false">IF(B88="","",IF(J88&lt;=0,"× 赤字",IF(AND(K88&gt;=設定!$B$22,J88&gt;=設定!$B$23),IF(AND(O88&lt;&gt;"",N88&lt;O88),"△ 予算不足","○ OK"),"△ 利益薄い")))</f>
        <v/>
      </c>
    </row>
    <row r="89" customFormat="false" ht="15" hidden="false" customHeight="true" outlineLevel="0" collapsed="false">
      <c r="A89" s="22"/>
      <c r="B89" s="9"/>
      <c r="C89" s="38"/>
      <c r="D89" s="38"/>
      <c r="E89" s="9"/>
      <c r="F89" s="9"/>
      <c r="G89" s="28" t="str">
        <f aca="false">IF(B89="","",(C89+D89)*設定!$B$6*(1+設定!$B$7)+E89+F89)</f>
        <v/>
      </c>
      <c r="H89" s="28" t="str">
        <f aca="false">IF(B89="","",ROUND(G89*設定!$B$8+G89*(1+設定!$B$8)*設定!$B$9,0))</f>
        <v/>
      </c>
      <c r="I89" s="28" t="str">
        <f aca="false">IF(B89="","",ROUND(B89*設定!$B$10,0)+設定!$B$11+設定!$B$12)</f>
        <v/>
      </c>
      <c r="J89" s="39" t="str">
        <f aca="false">IF(B89="","",B89-G89-H89-I89)</f>
        <v/>
      </c>
      <c r="K89" s="40" t="str">
        <f aca="false">IF(B89="","",IFERROR(J89/B89,""))</f>
        <v/>
      </c>
      <c r="L89" s="40" t="str">
        <f aca="false">IF(B89="","",IFERROR(J89/(G89+H89),""))</f>
        <v/>
      </c>
      <c r="M89" s="28" t="str">
        <f aca="false">IF(B89="","",IF(J89&lt;=0,"赤字",ROUNDUP(設定!$B$3/J89,0)))</f>
        <v/>
      </c>
      <c r="N89" s="28" t="str">
        <f aca="false">IF(B89="","",IFERROR(ROUNDDOWN(設定!$B$4/(G89+H89),0),""))</f>
        <v/>
      </c>
      <c r="O89" s="9"/>
      <c r="P89" s="29" t="str">
        <f aca="false">IF(B89="","",IF(J89&lt;=0,"× 赤字",IF(AND(K89&gt;=設定!$B$22,J89&gt;=設定!$B$23),IF(AND(O89&lt;&gt;"",N89&lt;O89),"△ 予算不足","○ OK"),"△ 利益薄い")))</f>
        <v/>
      </c>
    </row>
    <row r="90" customFormat="false" ht="15" hidden="false" customHeight="true" outlineLevel="0" collapsed="false">
      <c r="A90" s="22"/>
      <c r="B90" s="9"/>
      <c r="C90" s="38"/>
      <c r="D90" s="38"/>
      <c r="E90" s="9"/>
      <c r="F90" s="9"/>
      <c r="G90" s="28" t="str">
        <f aca="false">IF(B90="","",(C90+D90)*設定!$B$6*(1+設定!$B$7)+E90+F90)</f>
        <v/>
      </c>
      <c r="H90" s="28" t="str">
        <f aca="false">IF(B90="","",ROUND(G90*設定!$B$8+G90*(1+設定!$B$8)*設定!$B$9,0))</f>
        <v/>
      </c>
      <c r="I90" s="28" t="str">
        <f aca="false">IF(B90="","",ROUND(B90*設定!$B$10,0)+設定!$B$11+設定!$B$12)</f>
        <v/>
      </c>
      <c r="J90" s="39" t="str">
        <f aca="false">IF(B90="","",B90-G90-H90-I90)</f>
        <v/>
      </c>
      <c r="K90" s="40" t="str">
        <f aca="false">IF(B90="","",IFERROR(J90/B90,""))</f>
        <v/>
      </c>
      <c r="L90" s="40" t="str">
        <f aca="false">IF(B90="","",IFERROR(J90/(G90+H90),""))</f>
        <v/>
      </c>
      <c r="M90" s="28" t="str">
        <f aca="false">IF(B90="","",IF(J90&lt;=0,"赤字",ROUNDUP(設定!$B$3/J90,0)))</f>
        <v/>
      </c>
      <c r="N90" s="28" t="str">
        <f aca="false">IF(B90="","",IFERROR(ROUNDDOWN(設定!$B$4/(G90+H90),0),""))</f>
        <v/>
      </c>
      <c r="O90" s="9"/>
      <c r="P90" s="29" t="str">
        <f aca="false">IF(B90="","",IF(J90&lt;=0,"× 赤字",IF(AND(K90&gt;=設定!$B$22,J90&gt;=設定!$B$23),IF(AND(O90&lt;&gt;"",N90&lt;O90),"△ 予算不足","○ OK"),"△ 利益薄い")))</f>
        <v/>
      </c>
    </row>
    <row r="91" customFormat="false" ht="15" hidden="false" customHeight="true" outlineLevel="0" collapsed="false">
      <c r="A91" s="22"/>
      <c r="B91" s="9"/>
      <c r="C91" s="38"/>
      <c r="D91" s="38"/>
      <c r="E91" s="9"/>
      <c r="F91" s="9"/>
      <c r="G91" s="28" t="str">
        <f aca="false">IF(B91="","",(C91+D91)*設定!$B$6*(1+設定!$B$7)+E91+F91)</f>
        <v/>
      </c>
      <c r="H91" s="28" t="str">
        <f aca="false">IF(B91="","",ROUND(G91*設定!$B$8+G91*(1+設定!$B$8)*設定!$B$9,0))</f>
        <v/>
      </c>
      <c r="I91" s="28" t="str">
        <f aca="false">IF(B91="","",ROUND(B91*設定!$B$10,0)+設定!$B$11+設定!$B$12)</f>
        <v/>
      </c>
      <c r="J91" s="39" t="str">
        <f aca="false">IF(B91="","",B91-G91-H91-I91)</f>
        <v/>
      </c>
      <c r="K91" s="40" t="str">
        <f aca="false">IF(B91="","",IFERROR(J91/B91,""))</f>
        <v/>
      </c>
      <c r="L91" s="40" t="str">
        <f aca="false">IF(B91="","",IFERROR(J91/(G91+H91),""))</f>
        <v/>
      </c>
      <c r="M91" s="28" t="str">
        <f aca="false">IF(B91="","",IF(J91&lt;=0,"赤字",ROUNDUP(設定!$B$3/J91,0)))</f>
        <v/>
      </c>
      <c r="N91" s="28" t="str">
        <f aca="false">IF(B91="","",IFERROR(ROUNDDOWN(設定!$B$4/(G91+H91),0),""))</f>
        <v/>
      </c>
      <c r="O91" s="9"/>
      <c r="P91" s="29" t="str">
        <f aca="false">IF(B91="","",IF(J91&lt;=0,"× 赤字",IF(AND(K91&gt;=設定!$B$22,J91&gt;=設定!$B$23),IF(AND(O91&lt;&gt;"",N91&lt;O91),"△ 予算不足","○ OK"),"△ 利益薄い")))</f>
        <v/>
      </c>
    </row>
    <row r="92" customFormat="false" ht="15" hidden="false" customHeight="true" outlineLevel="0" collapsed="false">
      <c r="A92" s="22"/>
      <c r="B92" s="9"/>
      <c r="C92" s="38"/>
      <c r="D92" s="38"/>
      <c r="E92" s="9"/>
      <c r="F92" s="9"/>
      <c r="G92" s="28" t="str">
        <f aca="false">IF(B92="","",(C92+D92)*設定!$B$6*(1+設定!$B$7)+E92+F92)</f>
        <v/>
      </c>
      <c r="H92" s="28" t="str">
        <f aca="false">IF(B92="","",ROUND(G92*設定!$B$8+G92*(1+設定!$B$8)*設定!$B$9,0))</f>
        <v/>
      </c>
      <c r="I92" s="28" t="str">
        <f aca="false">IF(B92="","",ROUND(B92*設定!$B$10,0)+設定!$B$11+設定!$B$12)</f>
        <v/>
      </c>
      <c r="J92" s="39" t="str">
        <f aca="false">IF(B92="","",B92-G92-H92-I92)</f>
        <v/>
      </c>
      <c r="K92" s="40" t="str">
        <f aca="false">IF(B92="","",IFERROR(J92/B92,""))</f>
        <v/>
      </c>
      <c r="L92" s="40" t="str">
        <f aca="false">IF(B92="","",IFERROR(J92/(G92+H92),""))</f>
        <v/>
      </c>
      <c r="M92" s="28" t="str">
        <f aca="false">IF(B92="","",IF(J92&lt;=0,"赤字",ROUNDUP(設定!$B$3/J92,0)))</f>
        <v/>
      </c>
      <c r="N92" s="28" t="str">
        <f aca="false">IF(B92="","",IFERROR(ROUNDDOWN(設定!$B$4/(G92+H92),0),""))</f>
        <v/>
      </c>
      <c r="O92" s="9"/>
      <c r="P92" s="29" t="str">
        <f aca="false">IF(B92="","",IF(J92&lt;=0,"× 赤字",IF(AND(K92&gt;=設定!$B$22,J92&gt;=設定!$B$23),IF(AND(O92&lt;&gt;"",N92&lt;O92),"△ 予算不足","○ OK"),"△ 利益薄い")))</f>
        <v/>
      </c>
    </row>
    <row r="93" customFormat="false" ht="15" hidden="false" customHeight="true" outlineLevel="0" collapsed="false">
      <c r="A93" s="22"/>
      <c r="B93" s="9"/>
      <c r="C93" s="38"/>
      <c r="D93" s="38"/>
      <c r="E93" s="9"/>
      <c r="F93" s="9"/>
      <c r="G93" s="28" t="str">
        <f aca="false">IF(B93="","",(C93+D93)*設定!$B$6*(1+設定!$B$7)+E93+F93)</f>
        <v/>
      </c>
      <c r="H93" s="28" t="str">
        <f aca="false">IF(B93="","",ROUND(G93*設定!$B$8+G93*(1+設定!$B$8)*設定!$B$9,0))</f>
        <v/>
      </c>
      <c r="I93" s="28" t="str">
        <f aca="false">IF(B93="","",ROUND(B93*設定!$B$10,0)+設定!$B$11+設定!$B$12)</f>
        <v/>
      </c>
      <c r="J93" s="39" t="str">
        <f aca="false">IF(B93="","",B93-G93-H93-I93)</f>
        <v/>
      </c>
      <c r="K93" s="40" t="str">
        <f aca="false">IF(B93="","",IFERROR(J93/B93,""))</f>
        <v/>
      </c>
      <c r="L93" s="40" t="str">
        <f aca="false">IF(B93="","",IFERROR(J93/(G93+H93),""))</f>
        <v/>
      </c>
      <c r="M93" s="28" t="str">
        <f aca="false">IF(B93="","",IF(J93&lt;=0,"赤字",ROUNDUP(設定!$B$3/J93,0)))</f>
        <v/>
      </c>
      <c r="N93" s="28" t="str">
        <f aca="false">IF(B93="","",IFERROR(ROUNDDOWN(設定!$B$4/(G93+H93),0),""))</f>
        <v/>
      </c>
      <c r="O93" s="9"/>
      <c r="P93" s="29" t="str">
        <f aca="false">IF(B93="","",IF(J93&lt;=0,"× 赤字",IF(AND(K93&gt;=設定!$B$22,J93&gt;=設定!$B$23),IF(AND(O93&lt;&gt;"",N93&lt;O93),"△ 予算不足","○ OK"),"△ 利益薄い")))</f>
        <v/>
      </c>
    </row>
    <row r="94" customFormat="false" ht="15" hidden="false" customHeight="true" outlineLevel="0" collapsed="false">
      <c r="A94" s="22"/>
      <c r="B94" s="9"/>
      <c r="C94" s="38"/>
      <c r="D94" s="38"/>
      <c r="E94" s="9"/>
      <c r="F94" s="9"/>
      <c r="G94" s="28" t="str">
        <f aca="false">IF(B94="","",(C94+D94)*設定!$B$6*(1+設定!$B$7)+E94+F94)</f>
        <v/>
      </c>
      <c r="H94" s="28" t="str">
        <f aca="false">IF(B94="","",ROUND(G94*設定!$B$8+G94*(1+設定!$B$8)*設定!$B$9,0))</f>
        <v/>
      </c>
      <c r="I94" s="28" t="str">
        <f aca="false">IF(B94="","",ROUND(B94*設定!$B$10,0)+設定!$B$11+設定!$B$12)</f>
        <v/>
      </c>
      <c r="J94" s="39" t="str">
        <f aca="false">IF(B94="","",B94-G94-H94-I94)</f>
        <v/>
      </c>
      <c r="K94" s="40" t="str">
        <f aca="false">IF(B94="","",IFERROR(J94/B94,""))</f>
        <v/>
      </c>
      <c r="L94" s="40" t="str">
        <f aca="false">IF(B94="","",IFERROR(J94/(G94+H94),""))</f>
        <v/>
      </c>
      <c r="M94" s="28" t="str">
        <f aca="false">IF(B94="","",IF(J94&lt;=0,"赤字",ROUNDUP(設定!$B$3/J94,0)))</f>
        <v/>
      </c>
      <c r="N94" s="28" t="str">
        <f aca="false">IF(B94="","",IFERROR(ROUNDDOWN(設定!$B$4/(G94+H94),0),""))</f>
        <v/>
      </c>
      <c r="O94" s="9"/>
      <c r="P94" s="29" t="str">
        <f aca="false">IF(B94="","",IF(J94&lt;=0,"× 赤字",IF(AND(K94&gt;=設定!$B$22,J94&gt;=設定!$B$23),IF(AND(O94&lt;&gt;"",N94&lt;O94),"△ 予算不足","○ OK"),"△ 利益薄い")))</f>
        <v/>
      </c>
    </row>
    <row r="95" customFormat="false" ht="15" hidden="false" customHeight="true" outlineLevel="0" collapsed="false">
      <c r="A95" s="22"/>
      <c r="B95" s="9"/>
      <c r="C95" s="38"/>
      <c r="D95" s="38"/>
      <c r="E95" s="9"/>
      <c r="F95" s="9"/>
      <c r="G95" s="28" t="str">
        <f aca="false">IF(B95="","",(C95+D95)*設定!$B$6*(1+設定!$B$7)+E95+F95)</f>
        <v/>
      </c>
      <c r="H95" s="28" t="str">
        <f aca="false">IF(B95="","",ROUND(G95*設定!$B$8+G95*(1+設定!$B$8)*設定!$B$9,0))</f>
        <v/>
      </c>
      <c r="I95" s="28" t="str">
        <f aca="false">IF(B95="","",ROUND(B95*設定!$B$10,0)+設定!$B$11+設定!$B$12)</f>
        <v/>
      </c>
      <c r="J95" s="39" t="str">
        <f aca="false">IF(B95="","",B95-G95-H95-I95)</f>
        <v/>
      </c>
      <c r="K95" s="40" t="str">
        <f aca="false">IF(B95="","",IFERROR(J95/B95,""))</f>
        <v/>
      </c>
      <c r="L95" s="40" t="str">
        <f aca="false">IF(B95="","",IFERROR(J95/(G95+H95),""))</f>
        <v/>
      </c>
      <c r="M95" s="28" t="str">
        <f aca="false">IF(B95="","",IF(J95&lt;=0,"赤字",ROUNDUP(設定!$B$3/J95,0)))</f>
        <v/>
      </c>
      <c r="N95" s="28" t="str">
        <f aca="false">IF(B95="","",IFERROR(ROUNDDOWN(設定!$B$4/(G95+H95),0),""))</f>
        <v/>
      </c>
      <c r="O95" s="9"/>
      <c r="P95" s="29" t="str">
        <f aca="false">IF(B95="","",IF(J95&lt;=0,"× 赤字",IF(AND(K95&gt;=設定!$B$22,J95&gt;=設定!$B$23),IF(AND(O95&lt;&gt;"",N95&lt;O95),"△ 予算不足","○ OK"),"△ 利益薄い")))</f>
        <v/>
      </c>
    </row>
    <row r="96" customFormat="false" ht="15" hidden="false" customHeight="true" outlineLevel="0" collapsed="false">
      <c r="A96" s="22"/>
      <c r="B96" s="9"/>
      <c r="C96" s="38"/>
      <c r="D96" s="38"/>
      <c r="E96" s="9"/>
      <c r="F96" s="9"/>
      <c r="G96" s="28" t="str">
        <f aca="false">IF(B96="","",(C96+D96)*設定!$B$6*(1+設定!$B$7)+E96+F96)</f>
        <v/>
      </c>
      <c r="H96" s="28" t="str">
        <f aca="false">IF(B96="","",ROUND(G96*設定!$B$8+G96*(1+設定!$B$8)*設定!$B$9,0))</f>
        <v/>
      </c>
      <c r="I96" s="28" t="str">
        <f aca="false">IF(B96="","",ROUND(B96*設定!$B$10,0)+設定!$B$11+設定!$B$12)</f>
        <v/>
      </c>
      <c r="J96" s="39" t="str">
        <f aca="false">IF(B96="","",B96-G96-H96-I96)</f>
        <v/>
      </c>
      <c r="K96" s="40" t="str">
        <f aca="false">IF(B96="","",IFERROR(J96/B96,""))</f>
        <v/>
      </c>
      <c r="L96" s="40" t="str">
        <f aca="false">IF(B96="","",IFERROR(J96/(G96+H96),""))</f>
        <v/>
      </c>
      <c r="M96" s="28" t="str">
        <f aca="false">IF(B96="","",IF(J96&lt;=0,"赤字",ROUNDUP(設定!$B$3/J96,0)))</f>
        <v/>
      </c>
      <c r="N96" s="28" t="str">
        <f aca="false">IF(B96="","",IFERROR(ROUNDDOWN(設定!$B$4/(G96+H96),0),""))</f>
        <v/>
      </c>
      <c r="O96" s="9"/>
      <c r="P96" s="29" t="str">
        <f aca="false">IF(B96="","",IF(J96&lt;=0,"× 赤字",IF(AND(K96&gt;=設定!$B$22,J96&gt;=設定!$B$23),IF(AND(O96&lt;&gt;"",N96&lt;O96),"△ 予算不足","○ OK"),"△ 利益薄い")))</f>
        <v/>
      </c>
    </row>
    <row r="97" customFormat="false" ht="15" hidden="false" customHeight="true" outlineLevel="0" collapsed="false">
      <c r="A97" s="22"/>
      <c r="B97" s="9"/>
      <c r="C97" s="38"/>
      <c r="D97" s="38"/>
      <c r="E97" s="9"/>
      <c r="F97" s="9"/>
      <c r="G97" s="28" t="str">
        <f aca="false">IF(B97="","",(C97+D97)*設定!$B$6*(1+設定!$B$7)+E97+F97)</f>
        <v/>
      </c>
      <c r="H97" s="28" t="str">
        <f aca="false">IF(B97="","",ROUND(G97*設定!$B$8+G97*(1+設定!$B$8)*設定!$B$9,0))</f>
        <v/>
      </c>
      <c r="I97" s="28" t="str">
        <f aca="false">IF(B97="","",ROUND(B97*設定!$B$10,0)+設定!$B$11+設定!$B$12)</f>
        <v/>
      </c>
      <c r="J97" s="39" t="str">
        <f aca="false">IF(B97="","",B97-G97-H97-I97)</f>
        <v/>
      </c>
      <c r="K97" s="40" t="str">
        <f aca="false">IF(B97="","",IFERROR(J97/B97,""))</f>
        <v/>
      </c>
      <c r="L97" s="40" t="str">
        <f aca="false">IF(B97="","",IFERROR(J97/(G97+H97),""))</f>
        <v/>
      </c>
      <c r="M97" s="28" t="str">
        <f aca="false">IF(B97="","",IF(J97&lt;=0,"赤字",ROUNDUP(設定!$B$3/J97,0)))</f>
        <v/>
      </c>
      <c r="N97" s="28" t="str">
        <f aca="false">IF(B97="","",IFERROR(ROUNDDOWN(設定!$B$4/(G97+H97),0),""))</f>
        <v/>
      </c>
      <c r="O97" s="9"/>
      <c r="P97" s="29" t="str">
        <f aca="false">IF(B97="","",IF(J97&lt;=0,"× 赤字",IF(AND(K97&gt;=設定!$B$22,J97&gt;=設定!$B$23),IF(AND(O97&lt;&gt;"",N97&lt;O97),"△ 予算不足","○ OK"),"△ 利益薄い")))</f>
        <v/>
      </c>
    </row>
    <row r="98" customFormat="false" ht="15" hidden="false" customHeight="true" outlineLevel="0" collapsed="false">
      <c r="A98" s="22"/>
      <c r="B98" s="9"/>
      <c r="C98" s="38"/>
      <c r="D98" s="38"/>
      <c r="E98" s="9"/>
      <c r="F98" s="9"/>
      <c r="G98" s="28" t="str">
        <f aca="false">IF(B98="","",(C98+D98)*設定!$B$6*(1+設定!$B$7)+E98+F98)</f>
        <v/>
      </c>
      <c r="H98" s="28" t="str">
        <f aca="false">IF(B98="","",ROUND(G98*設定!$B$8+G98*(1+設定!$B$8)*設定!$B$9,0))</f>
        <v/>
      </c>
      <c r="I98" s="28" t="str">
        <f aca="false">IF(B98="","",ROUND(B98*設定!$B$10,0)+設定!$B$11+設定!$B$12)</f>
        <v/>
      </c>
      <c r="J98" s="39" t="str">
        <f aca="false">IF(B98="","",B98-G98-H98-I98)</f>
        <v/>
      </c>
      <c r="K98" s="40" t="str">
        <f aca="false">IF(B98="","",IFERROR(J98/B98,""))</f>
        <v/>
      </c>
      <c r="L98" s="40" t="str">
        <f aca="false">IF(B98="","",IFERROR(J98/(G98+H98),""))</f>
        <v/>
      </c>
      <c r="M98" s="28" t="str">
        <f aca="false">IF(B98="","",IF(J98&lt;=0,"赤字",ROUNDUP(設定!$B$3/J98,0)))</f>
        <v/>
      </c>
      <c r="N98" s="28" t="str">
        <f aca="false">IF(B98="","",IFERROR(ROUNDDOWN(設定!$B$4/(G98+H98),0),""))</f>
        <v/>
      </c>
      <c r="O98" s="9"/>
      <c r="P98" s="29" t="str">
        <f aca="false">IF(B98="","",IF(J98&lt;=0,"× 赤字",IF(AND(K98&gt;=設定!$B$22,J98&gt;=設定!$B$23),IF(AND(O98&lt;&gt;"",N98&lt;O98),"△ 予算不足","○ OK"),"△ 利益薄い")))</f>
        <v/>
      </c>
    </row>
    <row r="99" customFormat="false" ht="15" hidden="false" customHeight="true" outlineLevel="0" collapsed="false">
      <c r="A99" s="22"/>
      <c r="B99" s="9"/>
      <c r="C99" s="38"/>
      <c r="D99" s="38"/>
      <c r="E99" s="9"/>
      <c r="F99" s="9"/>
      <c r="G99" s="28" t="str">
        <f aca="false">IF(B99="","",(C99+D99)*設定!$B$6*(1+設定!$B$7)+E99+F99)</f>
        <v/>
      </c>
      <c r="H99" s="28" t="str">
        <f aca="false">IF(B99="","",ROUND(G99*設定!$B$8+G99*(1+設定!$B$8)*設定!$B$9,0))</f>
        <v/>
      </c>
      <c r="I99" s="28" t="str">
        <f aca="false">IF(B99="","",ROUND(B99*設定!$B$10,0)+設定!$B$11+設定!$B$12)</f>
        <v/>
      </c>
      <c r="J99" s="39" t="str">
        <f aca="false">IF(B99="","",B99-G99-H99-I99)</f>
        <v/>
      </c>
      <c r="K99" s="40" t="str">
        <f aca="false">IF(B99="","",IFERROR(J99/B99,""))</f>
        <v/>
      </c>
      <c r="L99" s="40" t="str">
        <f aca="false">IF(B99="","",IFERROR(J99/(G99+H99),""))</f>
        <v/>
      </c>
      <c r="M99" s="28" t="str">
        <f aca="false">IF(B99="","",IF(J99&lt;=0,"赤字",ROUNDUP(設定!$B$3/J99,0)))</f>
        <v/>
      </c>
      <c r="N99" s="28" t="str">
        <f aca="false">IF(B99="","",IFERROR(ROUNDDOWN(設定!$B$4/(G99+H99),0),""))</f>
        <v/>
      </c>
      <c r="O99" s="9"/>
      <c r="P99" s="29" t="str">
        <f aca="false">IF(B99="","",IF(J99&lt;=0,"× 赤字",IF(AND(K99&gt;=設定!$B$22,J99&gt;=設定!$B$23),IF(AND(O99&lt;&gt;"",N99&lt;O99),"△ 予算不足","○ OK"),"△ 利益薄い")))</f>
        <v/>
      </c>
    </row>
    <row r="100" customFormat="false" ht="15" hidden="false" customHeight="true" outlineLevel="0" collapsed="false">
      <c r="A100" s="22"/>
      <c r="B100" s="9"/>
      <c r="C100" s="38"/>
      <c r="D100" s="38"/>
      <c r="E100" s="9"/>
      <c r="F100" s="9"/>
      <c r="G100" s="28" t="str">
        <f aca="false">IF(B100="","",(C100+D100)*設定!$B$6*(1+設定!$B$7)+E100+F100)</f>
        <v/>
      </c>
      <c r="H100" s="28" t="str">
        <f aca="false">IF(B100="","",ROUND(G100*設定!$B$8+G100*(1+設定!$B$8)*設定!$B$9,0))</f>
        <v/>
      </c>
      <c r="I100" s="28" t="str">
        <f aca="false">IF(B100="","",ROUND(B100*設定!$B$10,0)+設定!$B$11+設定!$B$12)</f>
        <v/>
      </c>
      <c r="J100" s="39" t="str">
        <f aca="false">IF(B100="","",B100-G100-H100-I100)</f>
        <v/>
      </c>
      <c r="K100" s="40" t="str">
        <f aca="false">IF(B100="","",IFERROR(J100/B100,""))</f>
        <v/>
      </c>
      <c r="L100" s="40" t="str">
        <f aca="false">IF(B100="","",IFERROR(J100/(G100+H100),""))</f>
        <v/>
      </c>
      <c r="M100" s="28" t="str">
        <f aca="false">IF(B100="","",IF(J100&lt;=0,"赤字",ROUNDUP(設定!$B$3/J100,0)))</f>
        <v/>
      </c>
      <c r="N100" s="28" t="str">
        <f aca="false">IF(B100="","",IFERROR(ROUNDDOWN(設定!$B$4/(G100+H100),0),""))</f>
        <v/>
      </c>
      <c r="O100" s="9"/>
      <c r="P100" s="29" t="str">
        <f aca="false">IF(B100="","",IF(J100&lt;=0,"× 赤字",IF(AND(K100&gt;=設定!$B$22,J100&gt;=設定!$B$23),IF(AND(O100&lt;&gt;"",N100&lt;O100),"△ 予算不足","○ OK"),"△ 利益薄い")))</f>
        <v/>
      </c>
    </row>
    <row r="101" customFormat="false" ht="15" hidden="false" customHeight="true" outlineLevel="0" collapsed="false">
      <c r="A101" s="22"/>
      <c r="B101" s="9"/>
      <c r="C101" s="38"/>
      <c r="D101" s="38"/>
      <c r="E101" s="9"/>
      <c r="F101" s="9"/>
      <c r="G101" s="28" t="str">
        <f aca="false">IF(B101="","",(C101+D101)*設定!$B$6*(1+設定!$B$7)+E101+F101)</f>
        <v/>
      </c>
      <c r="H101" s="28" t="str">
        <f aca="false">IF(B101="","",ROUND(G101*設定!$B$8+G101*(1+設定!$B$8)*設定!$B$9,0))</f>
        <v/>
      </c>
      <c r="I101" s="28" t="str">
        <f aca="false">IF(B101="","",ROUND(B101*設定!$B$10,0)+設定!$B$11+設定!$B$12)</f>
        <v/>
      </c>
      <c r="J101" s="39" t="str">
        <f aca="false">IF(B101="","",B101-G101-H101-I101)</f>
        <v/>
      </c>
      <c r="K101" s="40" t="str">
        <f aca="false">IF(B101="","",IFERROR(J101/B101,""))</f>
        <v/>
      </c>
      <c r="L101" s="40" t="str">
        <f aca="false">IF(B101="","",IFERROR(J101/(G101+H101),""))</f>
        <v/>
      </c>
      <c r="M101" s="28" t="str">
        <f aca="false">IF(B101="","",IF(J101&lt;=0,"赤字",ROUNDUP(設定!$B$3/J101,0)))</f>
        <v/>
      </c>
      <c r="N101" s="28" t="str">
        <f aca="false">IF(B101="","",IFERROR(ROUNDDOWN(設定!$B$4/(G101+H101),0),""))</f>
        <v/>
      </c>
      <c r="O101" s="9"/>
      <c r="P101" s="29" t="str">
        <f aca="false">IF(B101="","",IF(J101&lt;=0,"× 赤字",IF(AND(K101&gt;=設定!$B$22,J101&gt;=設定!$B$23),IF(AND(O101&lt;&gt;"",N101&lt;O101),"△ 予算不足","○ OK"),"△ 利益薄い")))</f>
        <v/>
      </c>
    </row>
    <row r="102" customFormat="false" ht="15" hidden="false" customHeight="true" outlineLevel="0" collapsed="false">
      <c r="A102" s="22"/>
      <c r="B102" s="9"/>
      <c r="C102" s="38"/>
      <c r="D102" s="38"/>
      <c r="E102" s="9"/>
      <c r="F102" s="9"/>
      <c r="G102" s="28" t="str">
        <f aca="false">IF(B102="","",(C102+D102)*設定!$B$6*(1+設定!$B$7)+E102+F102)</f>
        <v/>
      </c>
      <c r="H102" s="28" t="str">
        <f aca="false">IF(B102="","",ROUND(G102*設定!$B$8+G102*(1+設定!$B$8)*設定!$B$9,0))</f>
        <v/>
      </c>
      <c r="I102" s="28" t="str">
        <f aca="false">IF(B102="","",ROUND(B102*設定!$B$10,0)+設定!$B$11+設定!$B$12)</f>
        <v/>
      </c>
      <c r="J102" s="39" t="str">
        <f aca="false">IF(B102="","",B102-G102-H102-I102)</f>
        <v/>
      </c>
      <c r="K102" s="40" t="str">
        <f aca="false">IF(B102="","",IFERROR(J102/B102,""))</f>
        <v/>
      </c>
      <c r="L102" s="40" t="str">
        <f aca="false">IF(B102="","",IFERROR(J102/(G102+H102),""))</f>
        <v/>
      </c>
      <c r="M102" s="28" t="str">
        <f aca="false">IF(B102="","",IF(J102&lt;=0,"赤字",ROUNDUP(設定!$B$3/J102,0)))</f>
        <v/>
      </c>
      <c r="N102" s="28" t="str">
        <f aca="false">IF(B102="","",IFERROR(ROUNDDOWN(設定!$B$4/(G102+H102),0),""))</f>
        <v/>
      </c>
      <c r="O102" s="9"/>
      <c r="P102" s="29" t="str">
        <f aca="false">IF(B102="","",IF(J102&lt;=0,"× 赤字",IF(AND(K102&gt;=設定!$B$22,J102&gt;=設定!$B$23),IF(AND(O102&lt;&gt;"",N102&lt;O102),"△ 予算不足","○ OK"),"△ 利益薄い")))</f>
        <v/>
      </c>
    </row>
    <row r="103" customFormat="false" ht="15" hidden="false" customHeight="true" outlineLevel="0" collapsed="false">
      <c r="A103" s="22"/>
      <c r="B103" s="9"/>
      <c r="C103" s="38"/>
      <c r="D103" s="38"/>
      <c r="E103" s="9"/>
      <c r="F103" s="9"/>
      <c r="G103" s="28" t="str">
        <f aca="false">IF(B103="","",(C103+D103)*設定!$B$6*(1+設定!$B$7)+E103+F103)</f>
        <v/>
      </c>
      <c r="H103" s="28" t="str">
        <f aca="false">IF(B103="","",ROUND(G103*設定!$B$8+G103*(1+設定!$B$8)*設定!$B$9,0))</f>
        <v/>
      </c>
      <c r="I103" s="28" t="str">
        <f aca="false">IF(B103="","",ROUND(B103*設定!$B$10,0)+設定!$B$11+設定!$B$12)</f>
        <v/>
      </c>
      <c r="J103" s="39" t="str">
        <f aca="false">IF(B103="","",B103-G103-H103-I103)</f>
        <v/>
      </c>
      <c r="K103" s="40" t="str">
        <f aca="false">IF(B103="","",IFERROR(J103/B103,""))</f>
        <v/>
      </c>
      <c r="L103" s="40" t="str">
        <f aca="false">IF(B103="","",IFERROR(J103/(G103+H103),""))</f>
        <v/>
      </c>
      <c r="M103" s="28" t="str">
        <f aca="false">IF(B103="","",IF(J103&lt;=0,"赤字",ROUNDUP(設定!$B$3/J103,0)))</f>
        <v/>
      </c>
      <c r="N103" s="28" t="str">
        <f aca="false">IF(B103="","",IFERROR(ROUNDDOWN(設定!$B$4/(G103+H103),0),""))</f>
        <v/>
      </c>
      <c r="O103" s="9"/>
      <c r="P103" s="29" t="str">
        <f aca="false">IF(B103="","",IF(J103&lt;=0,"× 赤字",IF(AND(K103&gt;=設定!$B$22,J103&gt;=設定!$B$23),IF(AND(O103&lt;&gt;"",N103&lt;O103),"△ 予算不足","○ OK"),"△ 利益薄い")))</f>
        <v/>
      </c>
    </row>
    <row r="104" customFormat="false" ht="15" hidden="false" customHeight="true" outlineLevel="0" collapsed="false">
      <c r="A104" s="22"/>
      <c r="B104" s="9"/>
      <c r="C104" s="38"/>
      <c r="D104" s="38"/>
      <c r="E104" s="9"/>
      <c r="F104" s="9"/>
      <c r="G104" s="28" t="str">
        <f aca="false">IF(B104="","",(C104+D104)*設定!$B$6*(1+設定!$B$7)+E104+F104)</f>
        <v/>
      </c>
      <c r="H104" s="28" t="str">
        <f aca="false">IF(B104="","",ROUND(G104*設定!$B$8+G104*(1+設定!$B$8)*設定!$B$9,0))</f>
        <v/>
      </c>
      <c r="I104" s="28" t="str">
        <f aca="false">IF(B104="","",ROUND(B104*設定!$B$10,0)+設定!$B$11+設定!$B$12)</f>
        <v/>
      </c>
      <c r="J104" s="39" t="str">
        <f aca="false">IF(B104="","",B104-G104-H104-I104)</f>
        <v/>
      </c>
      <c r="K104" s="40" t="str">
        <f aca="false">IF(B104="","",IFERROR(J104/B104,""))</f>
        <v/>
      </c>
      <c r="L104" s="40" t="str">
        <f aca="false">IF(B104="","",IFERROR(J104/(G104+H104),""))</f>
        <v/>
      </c>
      <c r="M104" s="28" t="str">
        <f aca="false">IF(B104="","",IF(J104&lt;=0,"赤字",ROUNDUP(設定!$B$3/J104,0)))</f>
        <v/>
      </c>
      <c r="N104" s="28" t="str">
        <f aca="false">IF(B104="","",IFERROR(ROUNDDOWN(設定!$B$4/(G104+H104),0),""))</f>
        <v/>
      </c>
      <c r="O104" s="9"/>
      <c r="P104" s="29" t="str">
        <f aca="false">IF(B104="","",IF(J104&lt;=0,"× 赤字",IF(AND(K104&gt;=設定!$B$22,J104&gt;=設定!$B$23),IF(AND(O104&lt;&gt;"",N104&lt;O104),"△ 予算不足","○ OK"),"△ 利益薄い")))</f>
        <v/>
      </c>
    </row>
    <row r="105" customFormat="false" ht="15" hidden="false" customHeight="true" outlineLevel="0" collapsed="false">
      <c r="A105" s="22"/>
      <c r="B105" s="9"/>
      <c r="C105" s="38"/>
      <c r="D105" s="38"/>
      <c r="E105" s="9"/>
      <c r="F105" s="9"/>
      <c r="G105" s="28" t="str">
        <f aca="false">IF(B105="","",(C105+D105)*設定!$B$6*(1+設定!$B$7)+E105+F105)</f>
        <v/>
      </c>
      <c r="H105" s="28" t="str">
        <f aca="false">IF(B105="","",ROUND(G105*設定!$B$8+G105*(1+設定!$B$8)*設定!$B$9,0))</f>
        <v/>
      </c>
      <c r="I105" s="28" t="str">
        <f aca="false">IF(B105="","",ROUND(B105*設定!$B$10,0)+設定!$B$11+設定!$B$12)</f>
        <v/>
      </c>
      <c r="J105" s="39" t="str">
        <f aca="false">IF(B105="","",B105-G105-H105-I105)</f>
        <v/>
      </c>
      <c r="K105" s="40" t="str">
        <f aca="false">IF(B105="","",IFERROR(J105/B105,""))</f>
        <v/>
      </c>
      <c r="L105" s="40" t="str">
        <f aca="false">IF(B105="","",IFERROR(J105/(G105+H105),""))</f>
        <v/>
      </c>
      <c r="M105" s="28" t="str">
        <f aca="false">IF(B105="","",IF(J105&lt;=0,"赤字",ROUNDUP(設定!$B$3/J105,0)))</f>
        <v/>
      </c>
      <c r="N105" s="28" t="str">
        <f aca="false">IF(B105="","",IFERROR(ROUNDDOWN(設定!$B$4/(G105+H105),0),""))</f>
        <v/>
      </c>
      <c r="O105" s="9"/>
      <c r="P105" s="29" t="str">
        <f aca="false">IF(B105="","",IF(J105&lt;=0,"× 赤字",IF(AND(K105&gt;=設定!$B$22,J105&gt;=設定!$B$23),IF(AND(O105&lt;&gt;"",N105&lt;O105),"△ 予算不足","○ OK"),"△ 利益薄い")))</f>
        <v/>
      </c>
    </row>
    <row r="106" customFormat="false" ht="15" hidden="false" customHeight="true" outlineLevel="0" collapsed="false">
      <c r="A106" s="22"/>
      <c r="B106" s="9"/>
      <c r="C106" s="38"/>
      <c r="D106" s="38"/>
      <c r="E106" s="9"/>
      <c r="F106" s="9"/>
      <c r="G106" s="28" t="str">
        <f aca="false">IF(B106="","",(C106+D106)*設定!$B$6*(1+設定!$B$7)+E106+F106)</f>
        <v/>
      </c>
      <c r="H106" s="28" t="str">
        <f aca="false">IF(B106="","",ROUND(G106*設定!$B$8+G106*(1+設定!$B$8)*設定!$B$9,0))</f>
        <v/>
      </c>
      <c r="I106" s="28" t="str">
        <f aca="false">IF(B106="","",ROUND(B106*設定!$B$10,0)+設定!$B$11+設定!$B$12)</f>
        <v/>
      </c>
      <c r="J106" s="39" t="str">
        <f aca="false">IF(B106="","",B106-G106-H106-I106)</f>
        <v/>
      </c>
      <c r="K106" s="40" t="str">
        <f aca="false">IF(B106="","",IFERROR(J106/B106,""))</f>
        <v/>
      </c>
      <c r="L106" s="40" t="str">
        <f aca="false">IF(B106="","",IFERROR(J106/(G106+H106),""))</f>
        <v/>
      </c>
      <c r="M106" s="28" t="str">
        <f aca="false">IF(B106="","",IF(J106&lt;=0,"赤字",ROUNDUP(設定!$B$3/J106,0)))</f>
        <v/>
      </c>
      <c r="N106" s="28" t="str">
        <f aca="false">IF(B106="","",IFERROR(ROUNDDOWN(設定!$B$4/(G106+H106),0),""))</f>
        <v/>
      </c>
      <c r="O106" s="9"/>
      <c r="P106" s="29" t="str">
        <f aca="false">IF(B106="","",IF(J106&lt;=0,"× 赤字",IF(AND(K106&gt;=設定!$B$22,J106&gt;=設定!$B$23),IF(AND(O106&lt;&gt;"",N106&lt;O106),"△ 予算不足","○ OK"),"△ 利益薄い")))</f>
        <v/>
      </c>
    </row>
    <row r="107" customFormat="false" ht="15" hidden="false" customHeight="true" outlineLevel="0" collapsed="false">
      <c r="A107" s="22"/>
      <c r="B107" s="9"/>
      <c r="C107" s="38"/>
      <c r="D107" s="38"/>
      <c r="E107" s="9"/>
      <c r="F107" s="9"/>
      <c r="G107" s="28" t="str">
        <f aca="false">IF(B107="","",(C107+D107)*設定!$B$6*(1+設定!$B$7)+E107+F107)</f>
        <v/>
      </c>
      <c r="H107" s="28" t="str">
        <f aca="false">IF(B107="","",ROUND(G107*設定!$B$8+G107*(1+設定!$B$8)*設定!$B$9,0))</f>
        <v/>
      </c>
      <c r="I107" s="28" t="str">
        <f aca="false">IF(B107="","",ROUND(B107*設定!$B$10,0)+設定!$B$11+設定!$B$12)</f>
        <v/>
      </c>
      <c r="J107" s="39" t="str">
        <f aca="false">IF(B107="","",B107-G107-H107-I107)</f>
        <v/>
      </c>
      <c r="K107" s="40" t="str">
        <f aca="false">IF(B107="","",IFERROR(J107/B107,""))</f>
        <v/>
      </c>
      <c r="L107" s="40" t="str">
        <f aca="false">IF(B107="","",IFERROR(J107/(G107+H107),""))</f>
        <v/>
      </c>
      <c r="M107" s="28" t="str">
        <f aca="false">IF(B107="","",IF(J107&lt;=0,"赤字",ROUNDUP(設定!$B$3/J107,0)))</f>
        <v/>
      </c>
      <c r="N107" s="28" t="str">
        <f aca="false">IF(B107="","",IFERROR(ROUNDDOWN(設定!$B$4/(G107+H107),0),""))</f>
        <v/>
      </c>
      <c r="O107" s="9"/>
      <c r="P107" s="29" t="str">
        <f aca="false">IF(B107="","",IF(J107&lt;=0,"× 赤字",IF(AND(K107&gt;=設定!$B$22,J107&gt;=設定!$B$23),IF(AND(O107&lt;&gt;"",N107&lt;O107),"△ 予算不足","○ OK"),"△ 利益薄い")))</f>
        <v/>
      </c>
    </row>
    <row r="108" customFormat="false" ht="15" hidden="false" customHeight="true" outlineLevel="0" collapsed="false">
      <c r="A108" s="22"/>
      <c r="B108" s="9"/>
      <c r="C108" s="38"/>
      <c r="D108" s="38"/>
      <c r="E108" s="9"/>
      <c r="F108" s="9"/>
      <c r="G108" s="28" t="str">
        <f aca="false">IF(B108="","",(C108+D108)*設定!$B$6*(1+設定!$B$7)+E108+F108)</f>
        <v/>
      </c>
      <c r="H108" s="28" t="str">
        <f aca="false">IF(B108="","",ROUND(G108*設定!$B$8+G108*(1+設定!$B$8)*設定!$B$9,0))</f>
        <v/>
      </c>
      <c r="I108" s="28" t="str">
        <f aca="false">IF(B108="","",ROUND(B108*設定!$B$10,0)+設定!$B$11+設定!$B$12)</f>
        <v/>
      </c>
      <c r="J108" s="39" t="str">
        <f aca="false">IF(B108="","",B108-G108-H108-I108)</f>
        <v/>
      </c>
      <c r="K108" s="40" t="str">
        <f aca="false">IF(B108="","",IFERROR(J108/B108,""))</f>
        <v/>
      </c>
      <c r="L108" s="40" t="str">
        <f aca="false">IF(B108="","",IFERROR(J108/(G108+H108),""))</f>
        <v/>
      </c>
      <c r="M108" s="28" t="str">
        <f aca="false">IF(B108="","",IF(J108&lt;=0,"赤字",ROUNDUP(設定!$B$3/J108,0)))</f>
        <v/>
      </c>
      <c r="N108" s="28" t="str">
        <f aca="false">IF(B108="","",IFERROR(ROUNDDOWN(設定!$B$4/(G108+H108),0),""))</f>
        <v/>
      </c>
      <c r="O108" s="9"/>
      <c r="P108" s="29" t="str">
        <f aca="false">IF(B108="","",IF(J108&lt;=0,"× 赤字",IF(AND(K108&gt;=設定!$B$22,J108&gt;=設定!$B$23),IF(AND(O108&lt;&gt;"",N108&lt;O108),"△ 予算不足","○ OK"),"△ 利益薄い")))</f>
        <v/>
      </c>
    </row>
    <row r="109" customFormat="false" ht="15" hidden="false" customHeight="true" outlineLevel="0" collapsed="false">
      <c r="A109" s="22"/>
      <c r="B109" s="9"/>
      <c r="C109" s="38"/>
      <c r="D109" s="38"/>
      <c r="E109" s="9"/>
      <c r="F109" s="9"/>
      <c r="G109" s="28" t="str">
        <f aca="false">IF(B109="","",(C109+D109)*設定!$B$6*(1+設定!$B$7)+E109+F109)</f>
        <v/>
      </c>
      <c r="H109" s="28" t="str">
        <f aca="false">IF(B109="","",ROUND(G109*設定!$B$8+G109*(1+設定!$B$8)*設定!$B$9,0))</f>
        <v/>
      </c>
      <c r="I109" s="28" t="str">
        <f aca="false">IF(B109="","",ROUND(B109*設定!$B$10,0)+設定!$B$11+設定!$B$12)</f>
        <v/>
      </c>
      <c r="J109" s="39" t="str">
        <f aca="false">IF(B109="","",B109-G109-H109-I109)</f>
        <v/>
      </c>
      <c r="K109" s="40" t="str">
        <f aca="false">IF(B109="","",IFERROR(J109/B109,""))</f>
        <v/>
      </c>
      <c r="L109" s="40" t="str">
        <f aca="false">IF(B109="","",IFERROR(J109/(G109+H109),""))</f>
        <v/>
      </c>
      <c r="M109" s="28" t="str">
        <f aca="false">IF(B109="","",IF(J109&lt;=0,"赤字",ROUNDUP(設定!$B$3/J109,0)))</f>
        <v/>
      </c>
      <c r="N109" s="28" t="str">
        <f aca="false">IF(B109="","",IFERROR(ROUNDDOWN(設定!$B$4/(G109+H109),0),""))</f>
        <v/>
      </c>
      <c r="O109" s="9"/>
      <c r="P109" s="29" t="str">
        <f aca="false">IF(B109="","",IF(J109&lt;=0,"× 赤字",IF(AND(K109&gt;=設定!$B$22,J109&gt;=設定!$B$23),IF(AND(O109&lt;&gt;"",N109&lt;O109),"△ 予算不足","○ OK"),"△ 利益薄い")))</f>
        <v/>
      </c>
    </row>
    <row r="110" customFormat="false" ht="15" hidden="false" customHeight="true" outlineLevel="0" collapsed="false">
      <c r="A110" s="22"/>
      <c r="B110" s="9"/>
      <c r="C110" s="38"/>
      <c r="D110" s="38"/>
      <c r="E110" s="9"/>
      <c r="F110" s="9"/>
      <c r="G110" s="28" t="str">
        <f aca="false">IF(B110="","",(C110+D110)*設定!$B$6*(1+設定!$B$7)+E110+F110)</f>
        <v/>
      </c>
      <c r="H110" s="28" t="str">
        <f aca="false">IF(B110="","",ROUND(G110*設定!$B$8+G110*(1+設定!$B$8)*設定!$B$9,0))</f>
        <v/>
      </c>
      <c r="I110" s="28" t="str">
        <f aca="false">IF(B110="","",ROUND(B110*設定!$B$10,0)+設定!$B$11+設定!$B$12)</f>
        <v/>
      </c>
      <c r="J110" s="39" t="str">
        <f aca="false">IF(B110="","",B110-G110-H110-I110)</f>
        <v/>
      </c>
      <c r="K110" s="40" t="str">
        <f aca="false">IF(B110="","",IFERROR(J110/B110,""))</f>
        <v/>
      </c>
      <c r="L110" s="40" t="str">
        <f aca="false">IF(B110="","",IFERROR(J110/(G110+H110),""))</f>
        <v/>
      </c>
      <c r="M110" s="28" t="str">
        <f aca="false">IF(B110="","",IF(J110&lt;=0,"赤字",ROUNDUP(設定!$B$3/J110,0)))</f>
        <v/>
      </c>
      <c r="N110" s="28" t="str">
        <f aca="false">IF(B110="","",IFERROR(ROUNDDOWN(設定!$B$4/(G110+H110),0),""))</f>
        <v/>
      </c>
      <c r="O110" s="9"/>
      <c r="P110" s="29" t="str">
        <f aca="false">IF(B110="","",IF(J110&lt;=0,"× 赤字",IF(AND(K110&gt;=設定!$B$22,J110&gt;=設定!$B$23),IF(AND(O110&lt;&gt;"",N110&lt;O110),"△ 予算不足","○ OK"),"△ 利益薄い")))</f>
        <v/>
      </c>
    </row>
    <row r="111" customFormat="false" ht="15" hidden="false" customHeight="true" outlineLevel="0" collapsed="false">
      <c r="A111" s="22"/>
      <c r="B111" s="9"/>
      <c r="C111" s="38"/>
      <c r="D111" s="38"/>
      <c r="E111" s="9"/>
      <c r="F111" s="9"/>
      <c r="G111" s="28" t="str">
        <f aca="false">IF(B111="","",(C111+D111)*設定!$B$6*(1+設定!$B$7)+E111+F111)</f>
        <v/>
      </c>
      <c r="H111" s="28" t="str">
        <f aca="false">IF(B111="","",ROUND(G111*設定!$B$8+G111*(1+設定!$B$8)*設定!$B$9,0))</f>
        <v/>
      </c>
      <c r="I111" s="28" t="str">
        <f aca="false">IF(B111="","",ROUND(B111*設定!$B$10,0)+設定!$B$11+設定!$B$12)</f>
        <v/>
      </c>
      <c r="J111" s="39" t="str">
        <f aca="false">IF(B111="","",B111-G111-H111-I111)</f>
        <v/>
      </c>
      <c r="K111" s="40" t="str">
        <f aca="false">IF(B111="","",IFERROR(J111/B111,""))</f>
        <v/>
      </c>
      <c r="L111" s="40" t="str">
        <f aca="false">IF(B111="","",IFERROR(J111/(G111+H111),""))</f>
        <v/>
      </c>
      <c r="M111" s="28" t="str">
        <f aca="false">IF(B111="","",IF(J111&lt;=0,"赤字",ROUNDUP(設定!$B$3/J111,0)))</f>
        <v/>
      </c>
      <c r="N111" s="28" t="str">
        <f aca="false">IF(B111="","",IFERROR(ROUNDDOWN(設定!$B$4/(G111+H111),0),""))</f>
        <v/>
      </c>
      <c r="O111" s="9"/>
      <c r="P111" s="29" t="str">
        <f aca="false">IF(B111="","",IF(J111&lt;=0,"× 赤字",IF(AND(K111&gt;=設定!$B$22,J111&gt;=設定!$B$23),IF(AND(O111&lt;&gt;"",N111&lt;O111),"△ 予算不足","○ OK"),"△ 利益薄い")))</f>
        <v/>
      </c>
    </row>
    <row r="112" customFormat="false" ht="15" hidden="false" customHeight="true" outlineLevel="0" collapsed="false">
      <c r="A112" s="22"/>
      <c r="B112" s="9"/>
      <c r="C112" s="38"/>
      <c r="D112" s="38"/>
      <c r="E112" s="9"/>
      <c r="F112" s="9"/>
      <c r="G112" s="28" t="str">
        <f aca="false">IF(B112="","",(C112+D112)*設定!$B$6*(1+設定!$B$7)+E112+F112)</f>
        <v/>
      </c>
      <c r="H112" s="28" t="str">
        <f aca="false">IF(B112="","",ROUND(G112*設定!$B$8+G112*(1+設定!$B$8)*設定!$B$9,0))</f>
        <v/>
      </c>
      <c r="I112" s="28" t="str">
        <f aca="false">IF(B112="","",ROUND(B112*設定!$B$10,0)+設定!$B$11+設定!$B$12)</f>
        <v/>
      </c>
      <c r="J112" s="39" t="str">
        <f aca="false">IF(B112="","",B112-G112-H112-I112)</f>
        <v/>
      </c>
      <c r="K112" s="40" t="str">
        <f aca="false">IF(B112="","",IFERROR(J112/B112,""))</f>
        <v/>
      </c>
      <c r="L112" s="40" t="str">
        <f aca="false">IF(B112="","",IFERROR(J112/(G112+H112),""))</f>
        <v/>
      </c>
      <c r="M112" s="28" t="str">
        <f aca="false">IF(B112="","",IF(J112&lt;=0,"赤字",ROUNDUP(設定!$B$3/J112,0)))</f>
        <v/>
      </c>
      <c r="N112" s="28" t="str">
        <f aca="false">IF(B112="","",IFERROR(ROUNDDOWN(設定!$B$4/(G112+H112),0),""))</f>
        <v/>
      </c>
      <c r="O112" s="9"/>
      <c r="P112" s="29" t="str">
        <f aca="false">IF(B112="","",IF(J112&lt;=0,"× 赤字",IF(AND(K112&gt;=設定!$B$22,J112&gt;=設定!$B$23),IF(AND(O112&lt;&gt;"",N112&lt;O112),"△ 予算不足","○ OK"),"△ 利益薄い")))</f>
        <v/>
      </c>
    </row>
    <row r="113" customFormat="false" ht="15" hidden="false" customHeight="true" outlineLevel="0" collapsed="false">
      <c r="A113" s="22"/>
      <c r="B113" s="9"/>
      <c r="C113" s="38"/>
      <c r="D113" s="38"/>
      <c r="E113" s="9"/>
      <c r="F113" s="9"/>
      <c r="G113" s="28" t="str">
        <f aca="false">IF(B113="","",(C113+D113)*設定!$B$6*(1+設定!$B$7)+E113+F113)</f>
        <v/>
      </c>
      <c r="H113" s="28" t="str">
        <f aca="false">IF(B113="","",ROUND(G113*設定!$B$8+G113*(1+設定!$B$8)*設定!$B$9,0))</f>
        <v/>
      </c>
      <c r="I113" s="28" t="str">
        <f aca="false">IF(B113="","",ROUND(B113*設定!$B$10,0)+設定!$B$11+設定!$B$12)</f>
        <v/>
      </c>
      <c r="J113" s="39" t="str">
        <f aca="false">IF(B113="","",B113-G113-H113-I113)</f>
        <v/>
      </c>
      <c r="K113" s="40" t="str">
        <f aca="false">IF(B113="","",IFERROR(J113/B113,""))</f>
        <v/>
      </c>
      <c r="L113" s="40" t="str">
        <f aca="false">IF(B113="","",IFERROR(J113/(G113+H113),""))</f>
        <v/>
      </c>
      <c r="M113" s="28" t="str">
        <f aca="false">IF(B113="","",IF(J113&lt;=0,"赤字",ROUNDUP(設定!$B$3/J113,0)))</f>
        <v/>
      </c>
      <c r="N113" s="28" t="str">
        <f aca="false">IF(B113="","",IFERROR(ROUNDDOWN(設定!$B$4/(G113+H113),0),""))</f>
        <v/>
      </c>
      <c r="O113" s="9"/>
      <c r="P113" s="29" t="str">
        <f aca="false">IF(B113="","",IF(J113&lt;=0,"× 赤字",IF(AND(K113&gt;=設定!$B$22,J113&gt;=設定!$B$23),IF(AND(O113&lt;&gt;"",N113&lt;O113),"△ 予算不足","○ OK"),"△ 利益薄い")))</f>
        <v/>
      </c>
    </row>
    <row r="114" customFormat="false" ht="15" hidden="false" customHeight="true" outlineLevel="0" collapsed="false">
      <c r="A114" s="22"/>
      <c r="B114" s="9"/>
      <c r="C114" s="38"/>
      <c r="D114" s="38"/>
      <c r="E114" s="9"/>
      <c r="F114" s="9"/>
      <c r="G114" s="28" t="str">
        <f aca="false">IF(B114="","",(C114+D114)*設定!$B$6*(1+設定!$B$7)+E114+F114)</f>
        <v/>
      </c>
      <c r="H114" s="28" t="str">
        <f aca="false">IF(B114="","",ROUND(G114*設定!$B$8+G114*(1+設定!$B$8)*設定!$B$9,0))</f>
        <v/>
      </c>
      <c r="I114" s="28" t="str">
        <f aca="false">IF(B114="","",ROUND(B114*設定!$B$10,0)+設定!$B$11+設定!$B$12)</f>
        <v/>
      </c>
      <c r="J114" s="39" t="str">
        <f aca="false">IF(B114="","",B114-G114-H114-I114)</f>
        <v/>
      </c>
      <c r="K114" s="40" t="str">
        <f aca="false">IF(B114="","",IFERROR(J114/B114,""))</f>
        <v/>
      </c>
      <c r="L114" s="40" t="str">
        <f aca="false">IF(B114="","",IFERROR(J114/(G114+H114),""))</f>
        <v/>
      </c>
      <c r="M114" s="28" t="str">
        <f aca="false">IF(B114="","",IF(J114&lt;=0,"赤字",ROUNDUP(設定!$B$3/J114,0)))</f>
        <v/>
      </c>
      <c r="N114" s="28" t="str">
        <f aca="false">IF(B114="","",IFERROR(ROUNDDOWN(設定!$B$4/(G114+H114),0),""))</f>
        <v/>
      </c>
      <c r="O114" s="9"/>
      <c r="P114" s="29" t="str">
        <f aca="false">IF(B114="","",IF(J114&lt;=0,"× 赤字",IF(AND(K114&gt;=設定!$B$22,J114&gt;=設定!$B$23),IF(AND(O114&lt;&gt;"",N114&lt;O114),"△ 予算不足","○ OK"),"△ 利益薄い")))</f>
        <v/>
      </c>
    </row>
    <row r="115" customFormat="false" ht="15" hidden="false" customHeight="true" outlineLevel="0" collapsed="false">
      <c r="A115" s="22"/>
      <c r="B115" s="9"/>
      <c r="C115" s="38"/>
      <c r="D115" s="38"/>
      <c r="E115" s="9"/>
      <c r="F115" s="9"/>
      <c r="G115" s="28" t="str">
        <f aca="false">IF(B115="","",(C115+D115)*設定!$B$6*(1+設定!$B$7)+E115+F115)</f>
        <v/>
      </c>
      <c r="H115" s="28" t="str">
        <f aca="false">IF(B115="","",ROUND(G115*設定!$B$8+G115*(1+設定!$B$8)*設定!$B$9,0))</f>
        <v/>
      </c>
      <c r="I115" s="28" t="str">
        <f aca="false">IF(B115="","",ROUND(B115*設定!$B$10,0)+設定!$B$11+設定!$B$12)</f>
        <v/>
      </c>
      <c r="J115" s="39" t="str">
        <f aca="false">IF(B115="","",B115-G115-H115-I115)</f>
        <v/>
      </c>
      <c r="K115" s="40" t="str">
        <f aca="false">IF(B115="","",IFERROR(J115/B115,""))</f>
        <v/>
      </c>
      <c r="L115" s="40" t="str">
        <f aca="false">IF(B115="","",IFERROR(J115/(G115+H115),""))</f>
        <v/>
      </c>
      <c r="M115" s="28" t="str">
        <f aca="false">IF(B115="","",IF(J115&lt;=0,"赤字",ROUNDUP(設定!$B$3/J115,0)))</f>
        <v/>
      </c>
      <c r="N115" s="28" t="str">
        <f aca="false">IF(B115="","",IFERROR(ROUNDDOWN(設定!$B$4/(G115+H115),0),""))</f>
        <v/>
      </c>
      <c r="O115" s="9"/>
      <c r="P115" s="29" t="str">
        <f aca="false">IF(B115="","",IF(J115&lt;=0,"× 赤字",IF(AND(K115&gt;=設定!$B$22,J115&gt;=設定!$B$23),IF(AND(O115&lt;&gt;"",N115&lt;O115),"△ 予算不足","○ OK"),"△ 利益薄い")))</f>
        <v/>
      </c>
    </row>
    <row r="116" customFormat="false" ht="15" hidden="false" customHeight="true" outlineLevel="0" collapsed="false">
      <c r="A116" s="22"/>
      <c r="B116" s="9"/>
      <c r="C116" s="38"/>
      <c r="D116" s="38"/>
      <c r="E116" s="9"/>
      <c r="F116" s="9"/>
      <c r="G116" s="28" t="str">
        <f aca="false">IF(B116="","",(C116+D116)*設定!$B$6*(1+設定!$B$7)+E116+F116)</f>
        <v/>
      </c>
      <c r="H116" s="28" t="str">
        <f aca="false">IF(B116="","",ROUND(G116*設定!$B$8+G116*(1+設定!$B$8)*設定!$B$9,0))</f>
        <v/>
      </c>
      <c r="I116" s="28" t="str">
        <f aca="false">IF(B116="","",ROUND(B116*設定!$B$10,0)+設定!$B$11+設定!$B$12)</f>
        <v/>
      </c>
      <c r="J116" s="39" t="str">
        <f aca="false">IF(B116="","",B116-G116-H116-I116)</f>
        <v/>
      </c>
      <c r="K116" s="40" t="str">
        <f aca="false">IF(B116="","",IFERROR(J116/B116,""))</f>
        <v/>
      </c>
      <c r="L116" s="40" t="str">
        <f aca="false">IF(B116="","",IFERROR(J116/(G116+H116),""))</f>
        <v/>
      </c>
      <c r="M116" s="28" t="str">
        <f aca="false">IF(B116="","",IF(J116&lt;=0,"赤字",ROUNDUP(設定!$B$3/J116,0)))</f>
        <v/>
      </c>
      <c r="N116" s="28" t="str">
        <f aca="false">IF(B116="","",IFERROR(ROUNDDOWN(設定!$B$4/(G116+H116),0),""))</f>
        <v/>
      </c>
      <c r="O116" s="9"/>
      <c r="P116" s="29" t="str">
        <f aca="false">IF(B116="","",IF(J116&lt;=0,"× 赤字",IF(AND(K116&gt;=設定!$B$22,J116&gt;=設定!$B$23),IF(AND(O116&lt;&gt;"",N116&lt;O116),"△ 予算不足","○ OK"),"△ 利益薄い")))</f>
        <v/>
      </c>
    </row>
    <row r="117" customFormat="false" ht="15" hidden="false" customHeight="true" outlineLevel="0" collapsed="false">
      <c r="A117" s="22"/>
      <c r="B117" s="9"/>
      <c r="C117" s="38"/>
      <c r="D117" s="38"/>
      <c r="E117" s="9"/>
      <c r="F117" s="9"/>
      <c r="G117" s="28" t="str">
        <f aca="false">IF(B117="","",(C117+D117)*設定!$B$6*(1+設定!$B$7)+E117+F117)</f>
        <v/>
      </c>
      <c r="H117" s="28" t="str">
        <f aca="false">IF(B117="","",ROUND(G117*設定!$B$8+G117*(1+設定!$B$8)*設定!$B$9,0))</f>
        <v/>
      </c>
      <c r="I117" s="28" t="str">
        <f aca="false">IF(B117="","",ROUND(B117*設定!$B$10,0)+設定!$B$11+設定!$B$12)</f>
        <v/>
      </c>
      <c r="J117" s="39" t="str">
        <f aca="false">IF(B117="","",B117-G117-H117-I117)</f>
        <v/>
      </c>
      <c r="K117" s="40" t="str">
        <f aca="false">IF(B117="","",IFERROR(J117/B117,""))</f>
        <v/>
      </c>
      <c r="L117" s="40" t="str">
        <f aca="false">IF(B117="","",IFERROR(J117/(G117+H117),""))</f>
        <v/>
      </c>
      <c r="M117" s="28" t="str">
        <f aca="false">IF(B117="","",IF(J117&lt;=0,"赤字",ROUNDUP(設定!$B$3/J117,0)))</f>
        <v/>
      </c>
      <c r="N117" s="28" t="str">
        <f aca="false">IF(B117="","",IFERROR(ROUNDDOWN(設定!$B$4/(G117+H117),0),""))</f>
        <v/>
      </c>
      <c r="O117" s="9"/>
      <c r="P117" s="29" t="str">
        <f aca="false">IF(B117="","",IF(J117&lt;=0,"× 赤字",IF(AND(K117&gt;=設定!$B$22,J117&gt;=設定!$B$23),IF(AND(O117&lt;&gt;"",N117&lt;O117),"△ 予算不足","○ OK"),"△ 利益薄い")))</f>
        <v/>
      </c>
    </row>
    <row r="118" customFormat="false" ht="15" hidden="false" customHeight="true" outlineLevel="0" collapsed="false">
      <c r="A118" s="22"/>
      <c r="B118" s="9"/>
      <c r="C118" s="38"/>
      <c r="D118" s="38"/>
      <c r="E118" s="9"/>
      <c r="F118" s="9"/>
      <c r="G118" s="28" t="str">
        <f aca="false">IF(B118="","",(C118+D118)*設定!$B$6*(1+設定!$B$7)+E118+F118)</f>
        <v/>
      </c>
      <c r="H118" s="28" t="str">
        <f aca="false">IF(B118="","",ROUND(G118*設定!$B$8+G118*(1+設定!$B$8)*設定!$B$9,0))</f>
        <v/>
      </c>
      <c r="I118" s="28" t="str">
        <f aca="false">IF(B118="","",ROUND(B118*設定!$B$10,0)+設定!$B$11+設定!$B$12)</f>
        <v/>
      </c>
      <c r="J118" s="39" t="str">
        <f aca="false">IF(B118="","",B118-G118-H118-I118)</f>
        <v/>
      </c>
      <c r="K118" s="40" t="str">
        <f aca="false">IF(B118="","",IFERROR(J118/B118,""))</f>
        <v/>
      </c>
      <c r="L118" s="40" t="str">
        <f aca="false">IF(B118="","",IFERROR(J118/(G118+H118),""))</f>
        <v/>
      </c>
      <c r="M118" s="28" t="str">
        <f aca="false">IF(B118="","",IF(J118&lt;=0,"赤字",ROUNDUP(設定!$B$3/J118,0)))</f>
        <v/>
      </c>
      <c r="N118" s="28" t="str">
        <f aca="false">IF(B118="","",IFERROR(ROUNDDOWN(設定!$B$4/(G118+H118),0),""))</f>
        <v/>
      </c>
      <c r="O118" s="9"/>
      <c r="P118" s="29" t="str">
        <f aca="false">IF(B118="","",IF(J118&lt;=0,"× 赤字",IF(AND(K118&gt;=設定!$B$22,J118&gt;=設定!$B$23),IF(AND(O118&lt;&gt;"",N118&lt;O118),"△ 予算不足","○ OK"),"△ 利益薄い")))</f>
        <v/>
      </c>
    </row>
    <row r="119" customFormat="false" ht="15" hidden="false" customHeight="true" outlineLevel="0" collapsed="false">
      <c r="A119" s="22"/>
      <c r="B119" s="9"/>
      <c r="C119" s="38"/>
      <c r="D119" s="38"/>
      <c r="E119" s="9"/>
      <c r="F119" s="9"/>
      <c r="G119" s="28" t="str">
        <f aca="false">IF(B119="","",(C119+D119)*設定!$B$6*(1+設定!$B$7)+E119+F119)</f>
        <v/>
      </c>
      <c r="H119" s="28" t="str">
        <f aca="false">IF(B119="","",ROUND(G119*設定!$B$8+G119*(1+設定!$B$8)*設定!$B$9,0))</f>
        <v/>
      </c>
      <c r="I119" s="28" t="str">
        <f aca="false">IF(B119="","",ROUND(B119*設定!$B$10,0)+設定!$B$11+設定!$B$12)</f>
        <v/>
      </c>
      <c r="J119" s="39" t="str">
        <f aca="false">IF(B119="","",B119-G119-H119-I119)</f>
        <v/>
      </c>
      <c r="K119" s="40" t="str">
        <f aca="false">IF(B119="","",IFERROR(J119/B119,""))</f>
        <v/>
      </c>
      <c r="L119" s="40" t="str">
        <f aca="false">IF(B119="","",IFERROR(J119/(G119+H119),""))</f>
        <v/>
      </c>
      <c r="M119" s="28" t="str">
        <f aca="false">IF(B119="","",IF(J119&lt;=0,"赤字",ROUNDUP(設定!$B$3/J119,0)))</f>
        <v/>
      </c>
      <c r="N119" s="28" t="str">
        <f aca="false">IF(B119="","",IFERROR(ROUNDDOWN(設定!$B$4/(G119+H119),0),""))</f>
        <v/>
      </c>
      <c r="O119" s="9"/>
      <c r="P119" s="29" t="str">
        <f aca="false">IF(B119="","",IF(J119&lt;=0,"× 赤字",IF(AND(K119&gt;=設定!$B$22,J119&gt;=設定!$B$23),IF(AND(O119&lt;&gt;"",N119&lt;O119),"△ 予算不足","○ OK"),"△ 利益薄い")))</f>
        <v/>
      </c>
    </row>
    <row r="120" customFormat="false" ht="15" hidden="false" customHeight="true" outlineLevel="0" collapsed="false">
      <c r="A120" s="22"/>
      <c r="B120" s="9"/>
      <c r="C120" s="38"/>
      <c r="D120" s="38"/>
      <c r="E120" s="9"/>
      <c r="F120" s="9"/>
      <c r="G120" s="28" t="str">
        <f aca="false">IF(B120="","",(C120+D120)*設定!$B$6*(1+設定!$B$7)+E120+F120)</f>
        <v/>
      </c>
      <c r="H120" s="28" t="str">
        <f aca="false">IF(B120="","",ROUND(G120*設定!$B$8+G120*(1+設定!$B$8)*設定!$B$9,0))</f>
        <v/>
      </c>
      <c r="I120" s="28" t="str">
        <f aca="false">IF(B120="","",ROUND(B120*設定!$B$10,0)+設定!$B$11+設定!$B$12)</f>
        <v/>
      </c>
      <c r="J120" s="39" t="str">
        <f aca="false">IF(B120="","",B120-G120-H120-I120)</f>
        <v/>
      </c>
      <c r="K120" s="40" t="str">
        <f aca="false">IF(B120="","",IFERROR(J120/B120,""))</f>
        <v/>
      </c>
      <c r="L120" s="40" t="str">
        <f aca="false">IF(B120="","",IFERROR(J120/(G120+H120),""))</f>
        <v/>
      </c>
      <c r="M120" s="28" t="str">
        <f aca="false">IF(B120="","",IF(J120&lt;=0,"赤字",ROUNDUP(設定!$B$3/J120,0)))</f>
        <v/>
      </c>
      <c r="N120" s="28" t="str">
        <f aca="false">IF(B120="","",IFERROR(ROUNDDOWN(設定!$B$4/(G120+H120),0),""))</f>
        <v/>
      </c>
      <c r="O120" s="9"/>
      <c r="P120" s="29" t="str">
        <f aca="false">IF(B120="","",IF(J120&lt;=0,"× 赤字",IF(AND(K120&gt;=設定!$B$22,J120&gt;=設定!$B$23),IF(AND(O120&lt;&gt;"",N120&lt;O120),"△ 予算不足","○ OK"),"△ 利益薄い")))</f>
        <v/>
      </c>
    </row>
    <row r="121" customFormat="false" ht="15" hidden="false" customHeight="true" outlineLevel="0" collapsed="false">
      <c r="A121" s="22"/>
      <c r="B121" s="9"/>
      <c r="C121" s="38"/>
      <c r="D121" s="38"/>
      <c r="E121" s="9"/>
      <c r="F121" s="9"/>
      <c r="G121" s="28" t="str">
        <f aca="false">IF(B121="","",(C121+D121)*設定!$B$6*(1+設定!$B$7)+E121+F121)</f>
        <v/>
      </c>
      <c r="H121" s="28" t="str">
        <f aca="false">IF(B121="","",ROUND(G121*設定!$B$8+G121*(1+設定!$B$8)*設定!$B$9,0))</f>
        <v/>
      </c>
      <c r="I121" s="28" t="str">
        <f aca="false">IF(B121="","",ROUND(B121*設定!$B$10,0)+設定!$B$11+設定!$B$12)</f>
        <v/>
      </c>
      <c r="J121" s="39" t="str">
        <f aca="false">IF(B121="","",B121-G121-H121-I121)</f>
        <v/>
      </c>
      <c r="K121" s="40" t="str">
        <f aca="false">IF(B121="","",IFERROR(J121/B121,""))</f>
        <v/>
      </c>
      <c r="L121" s="40" t="str">
        <f aca="false">IF(B121="","",IFERROR(J121/(G121+H121),""))</f>
        <v/>
      </c>
      <c r="M121" s="28" t="str">
        <f aca="false">IF(B121="","",IF(J121&lt;=0,"赤字",ROUNDUP(設定!$B$3/J121,0)))</f>
        <v/>
      </c>
      <c r="N121" s="28" t="str">
        <f aca="false">IF(B121="","",IFERROR(ROUNDDOWN(設定!$B$4/(G121+H121),0),""))</f>
        <v/>
      </c>
      <c r="O121" s="9"/>
      <c r="P121" s="29" t="str">
        <f aca="false">IF(B121="","",IF(J121&lt;=0,"× 赤字",IF(AND(K121&gt;=設定!$B$22,J121&gt;=設定!$B$23),IF(AND(O121&lt;&gt;"",N121&lt;O121),"△ 予算不足","○ OK"),"△ 利益薄い")))</f>
        <v/>
      </c>
    </row>
    <row r="122" customFormat="false" ht="15" hidden="false" customHeight="true" outlineLevel="0" collapsed="false">
      <c r="A122" s="22"/>
      <c r="B122" s="9"/>
      <c r="C122" s="38"/>
      <c r="D122" s="38"/>
      <c r="E122" s="9"/>
      <c r="F122" s="9"/>
      <c r="G122" s="28" t="str">
        <f aca="false">IF(B122="","",(C122+D122)*設定!$B$6*(1+設定!$B$7)+E122+F122)</f>
        <v/>
      </c>
      <c r="H122" s="28" t="str">
        <f aca="false">IF(B122="","",ROUND(G122*設定!$B$8+G122*(1+設定!$B$8)*設定!$B$9,0))</f>
        <v/>
      </c>
      <c r="I122" s="28" t="str">
        <f aca="false">IF(B122="","",ROUND(B122*設定!$B$10,0)+設定!$B$11+設定!$B$12)</f>
        <v/>
      </c>
      <c r="J122" s="39" t="str">
        <f aca="false">IF(B122="","",B122-G122-H122-I122)</f>
        <v/>
      </c>
      <c r="K122" s="40" t="str">
        <f aca="false">IF(B122="","",IFERROR(J122/B122,""))</f>
        <v/>
      </c>
      <c r="L122" s="40" t="str">
        <f aca="false">IF(B122="","",IFERROR(J122/(G122+H122),""))</f>
        <v/>
      </c>
      <c r="M122" s="28" t="str">
        <f aca="false">IF(B122="","",IF(J122&lt;=0,"赤字",ROUNDUP(設定!$B$3/J122,0)))</f>
        <v/>
      </c>
      <c r="N122" s="28" t="str">
        <f aca="false">IF(B122="","",IFERROR(ROUNDDOWN(設定!$B$4/(G122+H122),0),""))</f>
        <v/>
      </c>
      <c r="O122" s="9"/>
      <c r="P122" s="29" t="str">
        <f aca="false">IF(B122="","",IF(J122&lt;=0,"× 赤字",IF(AND(K122&gt;=設定!$B$22,J122&gt;=設定!$B$23),IF(AND(O122&lt;&gt;"",N122&lt;O122),"△ 予算不足","○ OK"),"△ 利益薄い")))</f>
        <v/>
      </c>
    </row>
    <row r="123" customFormat="false" ht="15" hidden="false" customHeight="true" outlineLevel="0" collapsed="false">
      <c r="A123" s="22"/>
      <c r="B123" s="9"/>
      <c r="C123" s="38"/>
      <c r="D123" s="38"/>
      <c r="E123" s="9"/>
      <c r="F123" s="9"/>
      <c r="G123" s="28" t="str">
        <f aca="false">IF(B123="","",(C123+D123)*設定!$B$6*(1+設定!$B$7)+E123+F123)</f>
        <v/>
      </c>
      <c r="H123" s="28" t="str">
        <f aca="false">IF(B123="","",ROUND(G123*設定!$B$8+G123*(1+設定!$B$8)*設定!$B$9,0))</f>
        <v/>
      </c>
      <c r="I123" s="28" t="str">
        <f aca="false">IF(B123="","",ROUND(B123*設定!$B$10,0)+設定!$B$11+設定!$B$12)</f>
        <v/>
      </c>
      <c r="J123" s="39" t="str">
        <f aca="false">IF(B123="","",B123-G123-H123-I123)</f>
        <v/>
      </c>
      <c r="K123" s="40" t="str">
        <f aca="false">IF(B123="","",IFERROR(J123/B123,""))</f>
        <v/>
      </c>
      <c r="L123" s="40" t="str">
        <f aca="false">IF(B123="","",IFERROR(J123/(G123+H123),""))</f>
        <v/>
      </c>
      <c r="M123" s="28" t="str">
        <f aca="false">IF(B123="","",IF(J123&lt;=0,"赤字",ROUNDUP(設定!$B$3/J123,0)))</f>
        <v/>
      </c>
      <c r="N123" s="28" t="str">
        <f aca="false">IF(B123="","",IFERROR(ROUNDDOWN(設定!$B$4/(G123+H123),0),""))</f>
        <v/>
      </c>
      <c r="O123" s="9"/>
      <c r="P123" s="29" t="str">
        <f aca="false">IF(B123="","",IF(J123&lt;=0,"× 赤字",IF(AND(K123&gt;=設定!$B$22,J123&gt;=設定!$B$23),IF(AND(O123&lt;&gt;"",N123&lt;O123),"△ 予算不足","○ OK"),"△ 利益薄い")))</f>
        <v/>
      </c>
    </row>
    <row r="124" customFormat="false" ht="15" hidden="false" customHeight="true" outlineLevel="0" collapsed="false">
      <c r="A124" s="22"/>
      <c r="B124" s="9"/>
      <c r="C124" s="38"/>
      <c r="D124" s="38"/>
      <c r="E124" s="9"/>
      <c r="F124" s="9"/>
      <c r="G124" s="28" t="str">
        <f aca="false">IF(B124="","",(C124+D124)*設定!$B$6*(1+設定!$B$7)+E124+F124)</f>
        <v/>
      </c>
      <c r="H124" s="28" t="str">
        <f aca="false">IF(B124="","",ROUND(G124*設定!$B$8+G124*(1+設定!$B$8)*設定!$B$9,0))</f>
        <v/>
      </c>
      <c r="I124" s="28" t="str">
        <f aca="false">IF(B124="","",ROUND(B124*設定!$B$10,0)+設定!$B$11+設定!$B$12)</f>
        <v/>
      </c>
      <c r="J124" s="39" t="str">
        <f aca="false">IF(B124="","",B124-G124-H124-I124)</f>
        <v/>
      </c>
      <c r="K124" s="40" t="str">
        <f aca="false">IF(B124="","",IFERROR(J124/B124,""))</f>
        <v/>
      </c>
      <c r="L124" s="40" t="str">
        <f aca="false">IF(B124="","",IFERROR(J124/(G124+H124),""))</f>
        <v/>
      </c>
      <c r="M124" s="28" t="str">
        <f aca="false">IF(B124="","",IF(J124&lt;=0,"赤字",ROUNDUP(設定!$B$3/J124,0)))</f>
        <v/>
      </c>
      <c r="N124" s="28" t="str">
        <f aca="false">IF(B124="","",IFERROR(ROUNDDOWN(設定!$B$4/(G124+H124),0),""))</f>
        <v/>
      </c>
      <c r="O124" s="9"/>
      <c r="P124" s="29" t="str">
        <f aca="false">IF(B124="","",IF(J124&lt;=0,"× 赤字",IF(AND(K124&gt;=設定!$B$22,J124&gt;=設定!$B$23),IF(AND(O124&lt;&gt;"",N124&lt;O124),"△ 予算不足","○ OK"),"△ 利益薄い")))</f>
        <v/>
      </c>
    </row>
    <row r="125" customFormat="false" ht="15" hidden="false" customHeight="true" outlineLevel="0" collapsed="false">
      <c r="A125" s="22"/>
      <c r="B125" s="9"/>
      <c r="C125" s="38"/>
      <c r="D125" s="38"/>
      <c r="E125" s="9"/>
      <c r="F125" s="9"/>
      <c r="G125" s="28" t="str">
        <f aca="false">IF(B125="","",(C125+D125)*設定!$B$6*(1+設定!$B$7)+E125+F125)</f>
        <v/>
      </c>
      <c r="H125" s="28" t="str">
        <f aca="false">IF(B125="","",ROUND(G125*設定!$B$8+G125*(1+設定!$B$8)*設定!$B$9,0))</f>
        <v/>
      </c>
      <c r="I125" s="28" t="str">
        <f aca="false">IF(B125="","",ROUND(B125*設定!$B$10,0)+設定!$B$11+設定!$B$12)</f>
        <v/>
      </c>
      <c r="J125" s="39" t="str">
        <f aca="false">IF(B125="","",B125-G125-H125-I125)</f>
        <v/>
      </c>
      <c r="K125" s="40" t="str">
        <f aca="false">IF(B125="","",IFERROR(J125/B125,""))</f>
        <v/>
      </c>
      <c r="L125" s="40" t="str">
        <f aca="false">IF(B125="","",IFERROR(J125/(G125+H125),""))</f>
        <v/>
      </c>
      <c r="M125" s="28" t="str">
        <f aca="false">IF(B125="","",IF(J125&lt;=0,"赤字",ROUNDUP(設定!$B$3/J125,0)))</f>
        <v/>
      </c>
      <c r="N125" s="28" t="str">
        <f aca="false">IF(B125="","",IFERROR(ROUNDDOWN(設定!$B$4/(G125+H125),0),""))</f>
        <v/>
      </c>
      <c r="O125" s="9"/>
      <c r="P125" s="29" t="str">
        <f aca="false">IF(B125="","",IF(J125&lt;=0,"× 赤字",IF(AND(K125&gt;=設定!$B$22,J125&gt;=設定!$B$23),IF(AND(O125&lt;&gt;"",N125&lt;O125),"△ 予算不足","○ OK"),"△ 利益薄い")))</f>
        <v/>
      </c>
    </row>
    <row r="126" customFormat="false" ht="15" hidden="false" customHeight="true" outlineLevel="0" collapsed="false">
      <c r="A126" s="22"/>
      <c r="B126" s="9"/>
      <c r="C126" s="38"/>
      <c r="D126" s="38"/>
      <c r="E126" s="9"/>
      <c r="F126" s="9"/>
      <c r="G126" s="28" t="str">
        <f aca="false">IF(B126="","",(C126+D126)*設定!$B$6*(1+設定!$B$7)+E126+F126)</f>
        <v/>
      </c>
      <c r="H126" s="28" t="str">
        <f aca="false">IF(B126="","",ROUND(G126*設定!$B$8+G126*(1+設定!$B$8)*設定!$B$9,0))</f>
        <v/>
      </c>
      <c r="I126" s="28" t="str">
        <f aca="false">IF(B126="","",ROUND(B126*設定!$B$10,0)+設定!$B$11+設定!$B$12)</f>
        <v/>
      </c>
      <c r="J126" s="39" t="str">
        <f aca="false">IF(B126="","",B126-G126-H126-I126)</f>
        <v/>
      </c>
      <c r="K126" s="40" t="str">
        <f aca="false">IF(B126="","",IFERROR(J126/B126,""))</f>
        <v/>
      </c>
      <c r="L126" s="40" t="str">
        <f aca="false">IF(B126="","",IFERROR(J126/(G126+H126),""))</f>
        <v/>
      </c>
      <c r="M126" s="28" t="str">
        <f aca="false">IF(B126="","",IF(J126&lt;=0,"赤字",ROUNDUP(設定!$B$3/J126,0)))</f>
        <v/>
      </c>
      <c r="N126" s="28" t="str">
        <f aca="false">IF(B126="","",IFERROR(ROUNDDOWN(設定!$B$4/(G126+H126),0),""))</f>
        <v/>
      </c>
      <c r="O126" s="9"/>
      <c r="P126" s="29" t="str">
        <f aca="false">IF(B126="","",IF(J126&lt;=0,"× 赤字",IF(AND(K126&gt;=設定!$B$22,J126&gt;=設定!$B$23),IF(AND(O126&lt;&gt;"",N126&lt;O126),"△ 予算不足","○ OK"),"△ 利益薄い")))</f>
        <v/>
      </c>
    </row>
    <row r="127" customFormat="false" ht="15" hidden="false" customHeight="true" outlineLevel="0" collapsed="false">
      <c r="A127" s="22"/>
      <c r="B127" s="9"/>
      <c r="C127" s="38"/>
      <c r="D127" s="38"/>
      <c r="E127" s="9"/>
      <c r="F127" s="9"/>
      <c r="G127" s="28" t="str">
        <f aca="false">IF(B127="","",(C127+D127)*設定!$B$6*(1+設定!$B$7)+E127+F127)</f>
        <v/>
      </c>
      <c r="H127" s="28" t="str">
        <f aca="false">IF(B127="","",ROUND(G127*設定!$B$8+G127*(1+設定!$B$8)*設定!$B$9,0))</f>
        <v/>
      </c>
      <c r="I127" s="28" t="str">
        <f aca="false">IF(B127="","",ROUND(B127*設定!$B$10,0)+設定!$B$11+設定!$B$12)</f>
        <v/>
      </c>
      <c r="J127" s="39" t="str">
        <f aca="false">IF(B127="","",B127-G127-H127-I127)</f>
        <v/>
      </c>
      <c r="K127" s="40" t="str">
        <f aca="false">IF(B127="","",IFERROR(J127/B127,""))</f>
        <v/>
      </c>
      <c r="L127" s="40" t="str">
        <f aca="false">IF(B127="","",IFERROR(J127/(G127+H127),""))</f>
        <v/>
      </c>
      <c r="M127" s="28" t="str">
        <f aca="false">IF(B127="","",IF(J127&lt;=0,"赤字",ROUNDUP(設定!$B$3/J127,0)))</f>
        <v/>
      </c>
      <c r="N127" s="28" t="str">
        <f aca="false">IF(B127="","",IFERROR(ROUNDDOWN(設定!$B$4/(G127+H127),0),""))</f>
        <v/>
      </c>
      <c r="O127" s="9"/>
      <c r="P127" s="29" t="str">
        <f aca="false">IF(B127="","",IF(J127&lt;=0,"× 赤字",IF(AND(K127&gt;=設定!$B$22,J127&gt;=設定!$B$23),IF(AND(O127&lt;&gt;"",N127&lt;O127),"△ 予算不足","○ OK"),"△ 利益薄い")))</f>
        <v/>
      </c>
    </row>
    <row r="128" customFormat="false" ht="15" hidden="false" customHeight="true" outlineLevel="0" collapsed="false">
      <c r="A128" s="22"/>
      <c r="B128" s="9"/>
      <c r="C128" s="38"/>
      <c r="D128" s="38"/>
      <c r="E128" s="9"/>
      <c r="F128" s="9"/>
      <c r="G128" s="28" t="str">
        <f aca="false">IF(B128="","",(C128+D128)*設定!$B$6*(1+設定!$B$7)+E128+F128)</f>
        <v/>
      </c>
      <c r="H128" s="28" t="str">
        <f aca="false">IF(B128="","",ROUND(G128*設定!$B$8+G128*(1+設定!$B$8)*設定!$B$9,0))</f>
        <v/>
      </c>
      <c r="I128" s="28" t="str">
        <f aca="false">IF(B128="","",ROUND(B128*設定!$B$10,0)+設定!$B$11+設定!$B$12)</f>
        <v/>
      </c>
      <c r="J128" s="39" t="str">
        <f aca="false">IF(B128="","",B128-G128-H128-I128)</f>
        <v/>
      </c>
      <c r="K128" s="40" t="str">
        <f aca="false">IF(B128="","",IFERROR(J128/B128,""))</f>
        <v/>
      </c>
      <c r="L128" s="40" t="str">
        <f aca="false">IF(B128="","",IFERROR(J128/(G128+H128),""))</f>
        <v/>
      </c>
      <c r="M128" s="28" t="str">
        <f aca="false">IF(B128="","",IF(J128&lt;=0,"赤字",ROUNDUP(設定!$B$3/J128,0)))</f>
        <v/>
      </c>
      <c r="N128" s="28" t="str">
        <f aca="false">IF(B128="","",IFERROR(ROUNDDOWN(設定!$B$4/(G128+H128),0),""))</f>
        <v/>
      </c>
      <c r="O128" s="9"/>
      <c r="P128" s="29" t="str">
        <f aca="false">IF(B128="","",IF(J128&lt;=0,"× 赤字",IF(AND(K128&gt;=設定!$B$22,J128&gt;=設定!$B$23),IF(AND(O128&lt;&gt;"",N128&lt;O128),"△ 予算不足","○ OK"),"△ 利益薄い")))</f>
        <v/>
      </c>
    </row>
    <row r="129" customFormat="false" ht="15" hidden="false" customHeight="true" outlineLevel="0" collapsed="false">
      <c r="A129" s="22"/>
      <c r="B129" s="9"/>
      <c r="C129" s="38"/>
      <c r="D129" s="38"/>
      <c r="E129" s="9"/>
      <c r="F129" s="9"/>
      <c r="G129" s="28" t="str">
        <f aca="false">IF(B129="","",(C129+D129)*設定!$B$6*(1+設定!$B$7)+E129+F129)</f>
        <v/>
      </c>
      <c r="H129" s="28" t="str">
        <f aca="false">IF(B129="","",ROUND(G129*設定!$B$8+G129*(1+設定!$B$8)*設定!$B$9,0))</f>
        <v/>
      </c>
      <c r="I129" s="28" t="str">
        <f aca="false">IF(B129="","",ROUND(B129*設定!$B$10,0)+設定!$B$11+設定!$B$12)</f>
        <v/>
      </c>
      <c r="J129" s="39" t="str">
        <f aca="false">IF(B129="","",B129-G129-H129-I129)</f>
        <v/>
      </c>
      <c r="K129" s="40" t="str">
        <f aca="false">IF(B129="","",IFERROR(J129/B129,""))</f>
        <v/>
      </c>
      <c r="L129" s="40" t="str">
        <f aca="false">IF(B129="","",IFERROR(J129/(G129+H129),""))</f>
        <v/>
      </c>
      <c r="M129" s="28" t="str">
        <f aca="false">IF(B129="","",IF(J129&lt;=0,"赤字",ROUNDUP(設定!$B$3/J129,0)))</f>
        <v/>
      </c>
      <c r="N129" s="28" t="str">
        <f aca="false">IF(B129="","",IFERROR(ROUNDDOWN(設定!$B$4/(G129+H129),0),""))</f>
        <v/>
      </c>
      <c r="O129" s="9"/>
      <c r="P129" s="29" t="str">
        <f aca="false">IF(B129="","",IF(J129&lt;=0,"× 赤字",IF(AND(K129&gt;=設定!$B$22,J129&gt;=設定!$B$23),IF(AND(O129&lt;&gt;"",N129&lt;O129),"△ 予算不足","○ OK"),"△ 利益薄い")))</f>
        <v/>
      </c>
    </row>
    <row r="130" customFormat="false" ht="15" hidden="false" customHeight="true" outlineLevel="0" collapsed="false">
      <c r="A130" s="22"/>
      <c r="B130" s="9"/>
      <c r="C130" s="38"/>
      <c r="D130" s="38"/>
      <c r="E130" s="9"/>
      <c r="F130" s="9"/>
      <c r="G130" s="28" t="str">
        <f aca="false">IF(B130="","",(C130+D130)*設定!$B$6*(1+設定!$B$7)+E130+F130)</f>
        <v/>
      </c>
      <c r="H130" s="28" t="str">
        <f aca="false">IF(B130="","",ROUND(G130*設定!$B$8+G130*(1+設定!$B$8)*設定!$B$9,0))</f>
        <v/>
      </c>
      <c r="I130" s="28" t="str">
        <f aca="false">IF(B130="","",ROUND(B130*設定!$B$10,0)+設定!$B$11+設定!$B$12)</f>
        <v/>
      </c>
      <c r="J130" s="39" t="str">
        <f aca="false">IF(B130="","",B130-G130-H130-I130)</f>
        <v/>
      </c>
      <c r="K130" s="40" t="str">
        <f aca="false">IF(B130="","",IFERROR(J130/B130,""))</f>
        <v/>
      </c>
      <c r="L130" s="40" t="str">
        <f aca="false">IF(B130="","",IFERROR(J130/(G130+H130),""))</f>
        <v/>
      </c>
      <c r="M130" s="28" t="str">
        <f aca="false">IF(B130="","",IF(J130&lt;=0,"赤字",ROUNDUP(設定!$B$3/J130,0)))</f>
        <v/>
      </c>
      <c r="N130" s="28" t="str">
        <f aca="false">IF(B130="","",IFERROR(ROUNDDOWN(設定!$B$4/(G130+H130),0),""))</f>
        <v/>
      </c>
      <c r="O130" s="9"/>
      <c r="P130" s="29" t="str">
        <f aca="false">IF(B130="","",IF(J130&lt;=0,"× 赤字",IF(AND(K130&gt;=設定!$B$22,J130&gt;=設定!$B$23),IF(AND(O130&lt;&gt;"",N130&lt;O130),"△ 予算不足","○ OK"),"△ 利益薄い")))</f>
        <v/>
      </c>
    </row>
    <row r="131" customFormat="false" ht="15" hidden="false" customHeight="true" outlineLevel="0" collapsed="false">
      <c r="A131" s="22"/>
      <c r="B131" s="9"/>
      <c r="C131" s="38"/>
      <c r="D131" s="38"/>
      <c r="E131" s="9"/>
      <c r="F131" s="9"/>
      <c r="G131" s="28" t="str">
        <f aca="false">IF(B131="","",(C131+D131)*設定!$B$6*(1+設定!$B$7)+E131+F131)</f>
        <v/>
      </c>
      <c r="H131" s="28" t="str">
        <f aca="false">IF(B131="","",ROUND(G131*設定!$B$8+G131*(1+設定!$B$8)*設定!$B$9,0))</f>
        <v/>
      </c>
      <c r="I131" s="28" t="str">
        <f aca="false">IF(B131="","",ROUND(B131*設定!$B$10,0)+設定!$B$11+設定!$B$12)</f>
        <v/>
      </c>
      <c r="J131" s="39" t="str">
        <f aca="false">IF(B131="","",B131-G131-H131-I131)</f>
        <v/>
      </c>
      <c r="K131" s="40" t="str">
        <f aca="false">IF(B131="","",IFERROR(J131/B131,""))</f>
        <v/>
      </c>
      <c r="L131" s="40" t="str">
        <f aca="false">IF(B131="","",IFERROR(J131/(G131+H131),""))</f>
        <v/>
      </c>
      <c r="M131" s="28" t="str">
        <f aca="false">IF(B131="","",IF(J131&lt;=0,"赤字",ROUNDUP(設定!$B$3/J131,0)))</f>
        <v/>
      </c>
      <c r="N131" s="28" t="str">
        <f aca="false">IF(B131="","",IFERROR(ROUNDDOWN(設定!$B$4/(G131+H131),0),""))</f>
        <v/>
      </c>
      <c r="O131" s="9"/>
      <c r="P131" s="29" t="str">
        <f aca="false">IF(B131="","",IF(J131&lt;=0,"× 赤字",IF(AND(K131&gt;=設定!$B$22,J131&gt;=設定!$B$23),IF(AND(O131&lt;&gt;"",N131&lt;O131),"△ 予算不足","○ OK"),"△ 利益薄い")))</f>
        <v/>
      </c>
    </row>
    <row r="132" customFormat="false" ht="15" hidden="false" customHeight="true" outlineLevel="0" collapsed="false">
      <c r="A132" s="22"/>
      <c r="B132" s="9"/>
      <c r="C132" s="38"/>
      <c r="D132" s="38"/>
      <c r="E132" s="9"/>
      <c r="F132" s="9"/>
      <c r="G132" s="28" t="str">
        <f aca="false">IF(B132="","",(C132+D132)*設定!$B$6*(1+設定!$B$7)+E132+F132)</f>
        <v/>
      </c>
      <c r="H132" s="28" t="str">
        <f aca="false">IF(B132="","",ROUND(G132*設定!$B$8+G132*(1+設定!$B$8)*設定!$B$9,0))</f>
        <v/>
      </c>
      <c r="I132" s="28" t="str">
        <f aca="false">IF(B132="","",ROUND(B132*設定!$B$10,0)+設定!$B$11+設定!$B$12)</f>
        <v/>
      </c>
      <c r="J132" s="39" t="str">
        <f aca="false">IF(B132="","",B132-G132-H132-I132)</f>
        <v/>
      </c>
      <c r="K132" s="40" t="str">
        <f aca="false">IF(B132="","",IFERROR(J132/B132,""))</f>
        <v/>
      </c>
      <c r="L132" s="40" t="str">
        <f aca="false">IF(B132="","",IFERROR(J132/(G132+H132),""))</f>
        <v/>
      </c>
      <c r="M132" s="28" t="str">
        <f aca="false">IF(B132="","",IF(J132&lt;=0,"赤字",ROUNDUP(設定!$B$3/J132,0)))</f>
        <v/>
      </c>
      <c r="N132" s="28" t="str">
        <f aca="false">IF(B132="","",IFERROR(ROUNDDOWN(設定!$B$4/(G132+H132),0),""))</f>
        <v/>
      </c>
      <c r="O132" s="9"/>
      <c r="P132" s="29" t="str">
        <f aca="false">IF(B132="","",IF(J132&lt;=0,"× 赤字",IF(AND(K132&gt;=設定!$B$22,J132&gt;=設定!$B$23),IF(AND(O132&lt;&gt;"",N132&lt;O132),"△ 予算不足","○ OK"),"△ 利益薄い")))</f>
        <v/>
      </c>
    </row>
    <row r="133" customFormat="false" ht="15" hidden="false" customHeight="true" outlineLevel="0" collapsed="false">
      <c r="A133" s="22"/>
      <c r="B133" s="9"/>
      <c r="C133" s="38"/>
      <c r="D133" s="38"/>
      <c r="E133" s="9"/>
      <c r="F133" s="9"/>
      <c r="G133" s="28" t="str">
        <f aca="false">IF(B133="","",(C133+D133)*設定!$B$6*(1+設定!$B$7)+E133+F133)</f>
        <v/>
      </c>
      <c r="H133" s="28" t="str">
        <f aca="false">IF(B133="","",ROUND(G133*設定!$B$8+G133*(1+設定!$B$8)*設定!$B$9,0))</f>
        <v/>
      </c>
      <c r="I133" s="28" t="str">
        <f aca="false">IF(B133="","",ROUND(B133*設定!$B$10,0)+設定!$B$11+設定!$B$12)</f>
        <v/>
      </c>
      <c r="J133" s="39" t="str">
        <f aca="false">IF(B133="","",B133-G133-H133-I133)</f>
        <v/>
      </c>
      <c r="K133" s="40" t="str">
        <f aca="false">IF(B133="","",IFERROR(J133/B133,""))</f>
        <v/>
      </c>
      <c r="L133" s="40" t="str">
        <f aca="false">IF(B133="","",IFERROR(J133/(G133+H133),""))</f>
        <v/>
      </c>
      <c r="M133" s="28" t="str">
        <f aca="false">IF(B133="","",IF(J133&lt;=0,"赤字",ROUNDUP(設定!$B$3/J133,0)))</f>
        <v/>
      </c>
      <c r="N133" s="28" t="str">
        <f aca="false">IF(B133="","",IFERROR(ROUNDDOWN(設定!$B$4/(G133+H133),0),""))</f>
        <v/>
      </c>
      <c r="O133" s="9"/>
      <c r="P133" s="29" t="str">
        <f aca="false">IF(B133="","",IF(J133&lt;=0,"× 赤字",IF(AND(K133&gt;=設定!$B$22,J133&gt;=設定!$B$23),IF(AND(O133&lt;&gt;"",N133&lt;O133),"△ 予算不足","○ OK"),"△ 利益薄い")))</f>
        <v/>
      </c>
    </row>
    <row r="134" customFormat="false" ht="15" hidden="false" customHeight="true" outlineLevel="0" collapsed="false">
      <c r="A134" s="22"/>
      <c r="B134" s="9"/>
      <c r="C134" s="38"/>
      <c r="D134" s="38"/>
      <c r="E134" s="9"/>
      <c r="F134" s="9"/>
      <c r="G134" s="28" t="str">
        <f aca="false">IF(B134="","",(C134+D134)*設定!$B$6*(1+設定!$B$7)+E134+F134)</f>
        <v/>
      </c>
      <c r="H134" s="28" t="str">
        <f aca="false">IF(B134="","",ROUND(G134*設定!$B$8+G134*(1+設定!$B$8)*設定!$B$9,0))</f>
        <v/>
      </c>
      <c r="I134" s="28" t="str">
        <f aca="false">IF(B134="","",ROUND(B134*設定!$B$10,0)+設定!$B$11+設定!$B$12)</f>
        <v/>
      </c>
      <c r="J134" s="39" t="str">
        <f aca="false">IF(B134="","",B134-G134-H134-I134)</f>
        <v/>
      </c>
      <c r="K134" s="40" t="str">
        <f aca="false">IF(B134="","",IFERROR(J134/B134,""))</f>
        <v/>
      </c>
      <c r="L134" s="40" t="str">
        <f aca="false">IF(B134="","",IFERROR(J134/(G134+H134),""))</f>
        <v/>
      </c>
      <c r="M134" s="28" t="str">
        <f aca="false">IF(B134="","",IF(J134&lt;=0,"赤字",ROUNDUP(設定!$B$3/J134,0)))</f>
        <v/>
      </c>
      <c r="N134" s="28" t="str">
        <f aca="false">IF(B134="","",IFERROR(ROUNDDOWN(設定!$B$4/(G134+H134),0),""))</f>
        <v/>
      </c>
      <c r="O134" s="9"/>
      <c r="P134" s="29" t="str">
        <f aca="false">IF(B134="","",IF(J134&lt;=0,"× 赤字",IF(AND(K134&gt;=設定!$B$22,J134&gt;=設定!$B$23),IF(AND(O134&lt;&gt;"",N134&lt;O134),"△ 予算不足","○ OK"),"△ 利益薄い")))</f>
        <v/>
      </c>
    </row>
    <row r="135" customFormat="false" ht="15" hidden="false" customHeight="true" outlineLevel="0" collapsed="false">
      <c r="A135" s="22"/>
      <c r="B135" s="9"/>
      <c r="C135" s="38"/>
      <c r="D135" s="38"/>
      <c r="E135" s="9"/>
      <c r="F135" s="9"/>
      <c r="G135" s="28" t="str">
        <f aca="false">IF(B135="","",(C135+D135)*設定!$B$6*(1+設定!$B$7)+E135+F135)</f>
        <v/>
      </c>
      <c r="H135" s="28" t="str">
        <f aca="false">IF(B135="","",ROUND(G135*設定!$B$8+G135*(1+設定!$B$8)*設定!$B$9,0))</f>
        <v/>
      </c>
      <c r="I135" s="28" t="str">
        <f aca="false">IF(B135="","",ROUND(B135*設定!$B$10,0)+設定!$B$11+設定!$B$12)</f>
        <v/>
      </c>
      <c r="J135" s="39" t="str">
        <f aca="false">IF(B135="","",B135-G135-H135-I135)</f>
        <v/>
      </c>
      <c r="K135" s="40" t="str">
        <f aca="false">IF(B135="","",IFERROR(J135/B135,""))</f>
        <v/>
      </c>
      <c r="L135" s="40" t="str">
        <f aca="false">IF(B135="","",IFERROR(J135/(G135+H135),""))</f>
        <v/>
      </c>
      <c r="M135" s="28" t="str">
        <f aca="false">IF(B135="","",IF(J135&lt;=0,"赤字",ROUNDUP(設定!$B$3/J135,0)))</f>
        <v/>
      </c>
      <c r="N135" s="28" t="str">
        <f aca="false">IF(B135="","",IFERROR(ROUNDDOWN(設定!$B$4/(G135+H135),0),""))</f>
        <v/>
      </c>
      <c r="O135" s="9"/>
      <c r="P135" s="29" t="str">
        <f aca="false">IF(B135="","",IF(J135&lt;=0,"× 赤字",IF(AND(K135&gt;=設定!$B$22,J135&gt;=設定!$B$23),IF(AND(O135&lt;&gt;"",N135&lt;O135),"△ 予算不足","○ OK"),"△ 利益薄い")))</f>
        <v/>
      </c>
    </row>
    <row r="136" customFormat="false" ht="15" hidden="false" customHeight="true" outlineLevel="0" collapsed="false">
      <c r="A136" s="22"/>
      <c r="B136" s="9"/>
      <c r="C136" s="38"/>
      <c r="D136" s="38"/>
      <c r="E136" s="9"/>
      <c r="F136" s="9"/>
      <c r="G136" s="28" t="str">
        <f aca="false">IF(B136="","",(C136+D136)*設定!$B$6*(1+設定!$B$7)+E136+F136)</f>
        <v/>
      </c>
      <c r="H136" s="28" t="str">
        <f aca="false">IF(B136="","",ROUND(G136*設定!$B$8+G136*(1+設定!$B$8)*設定!$B$9,0))</f>
        <v/>
      </c>
      <c r="I136" s="28" t="str">
        <f aca="false">IF(B136="","",ROUND(B136*設定!$B$10,0)+設定!$B$11+設定!$B$12)</f>
        <v/>
      </c>
      <c r="J136" s="39" t="str">
        <f aca="false">IF(B136="","",B136-G136-H136-I136)</f>
        <v/>
      </c>
      <c r="K136" s="40" t="str">
        <f aca="false">IF(B136="","",IFERROR(J136/B136,""))</f>
        <v/>
      </c>
      <c r="L136" s="40" t="str">
        <f aca="false">IF(B136="","",IFERROR(J136/(G136+H136),""))</f>
        <v/>
      </c>
      <c r="M136" s="28" t="str">
        <f aca="false">IF(B136="","",IF(J136&lt;=0,"赤字",ROUNDUP(設定!$B$3/J136,0)))</f>
        <v/>
      </c>
      <c r="N136" s="28" t="str">
        <f aca="false">IF(B136="","",IFERROR(ROUNDDOWN(設定!$B$4/(G136+H136),0),""))</f>
        <v/>
      </c>
      <c r="O136" s="9"/>
      <c r="P136" s="29" t="str">
        <f aca="false">IF(B136="","",IF(J136&lt;=0,"× 赤字",IF(AND(K136&gt;=設定!$B$22,J136&gt;=設定!$B$23),IF(AND(O136&lt;&gt;"",N136&lt;O136),"△ 予算不足","○ OK"),"△ 利益薄い")))</f>
        <v/>
      </c>
    </row>
    <row r="137" customFormat="false" ht="15" hidden="false" customHeight="true" outlineLevel="0" collapsed="false">
      <c r="A137" s="22"/>
      <c r="B137" s="9"/>
      <c r="C137" s="38"/>
      <c r="D137" s="38"/>
      <c r="E137" s="9"/>
      <c r="F137" s="9"/>
      <c r="G137" s="28" t="str">
        <f aca="false">IF(B137="","",(C137+D137)*設定!$B$6*(1+設定!$B$7)+E137+F137)</f>
        <v/>
      </c>
      <c r="H137" s="28" t="str">
        <f aca="false">IF(B137="","",ROUND(G137*設定!$B$8+G137*(1+設定!$B$8)*設定!$B$9,0))</f>
        <v/>
      </c>
      <c r="I137" s="28" t="str">
        <f aca="false">IF(B137="","",ROUND(B137*設定!$B$10,0)+設定!$B$11+設定!$B$12)</f>
        <v/>
      </c>
      <c r="J137" s="39" t="str">
        <f aca="false">IF(B137="","",B137-G137-H137-I137)</f>
        <v/>
      </c>
      <c r="K137" s="40" t="str">
        <f aca="false">IF(B137="","",IFERROR(J137/B137,""))</f>
        <v/>
      </c>
      <c r="L137" s="40" t="str">
        <f aca="false">IF(B137="","",IFERROR(J137/(G137+H137),""))</f>
        <v/>
      </c>
      <c r="M137" s="28" t="str">
        <f aca="false">IF(B137="","",IF(J137&lt;=0,"赤字",ROUNDUP(設定!$B$3/J137,0)))</f>
        <v/>
      </c>
      <c r="N137" s="28" t="str">
        <f aca="false">IF(B137="","",IFERROR(ROUNDDOWN(設定!$B$4/(G137+H137),0),""))</f>
        <v/>
      </c>
      <c r="O137" s="9"/>
      <c r="P137" s="29" t="str">
        <f aca="false">IF(B137="","",IF(J137&lt;=0,"× 赤字",IF(AND(K137&gt;=設定!$B$22,J137&gt;=設定!$B$23),IF(AND(O137&lt;&gt;"",N137&lt;O137),"△ 予算不足","○ OK"),"△ 利益薄い")))</f>
        <v/>
      </c>
    </row>
    <row r="138" customFormat="false" ht="15" hidden="false" customHeight="true" outlineLevel="0" collapsed="false">
      <c r="A138" s="22"/>
      <c r="B138" s="9"/>
      <c r="C138" s="38"/>
      <c r="D138" s="38"/>
      <c r="E138" s="9"/>
      <c r="F138" s="9"/>
      <c r="G138" s="28" t="str">
        <f aca="false">IF(B138="","",(C138+D138)*設定!$B$6*(1+設定!$B$7)+E138+F138)</f>
        <v/>
      </c>
      <c r="H138" s="28" t="str">
        <f aca="false">IF(B138="","",ROUND(G138*設定!$B$8+G138*(1+設定!$B$8)*設定!$B$9,0))</f>
        <v/>
      </c>
      <c r="I138" s="28" t="str">
        <f aca="false">IF(B138="","",ROUND(B138*設定!$B$10,0)+設定!$B$11+設定!$B$12)</f>
        <v/>
      </c>
      <c r="J138" s="39" t="str">
        <f aca="false">IF(B138="","",B138-G138-H138-I138)</f>
        <v/>
      </c>
      <c r="K138" s="40" t="str">
        <f aca="false">IF(B138="","",IFERROR(J138/B138,""))</f>
        <v/>
      </c>
      <c r="L138" s="40" t="str">
        <f aca="false">IF(B138="","",IFERROR(J138/(G138+H138),""))</f>
        <v/>
      </c>
      <c r="M138" s="28" t="str">
        <f aca="false">IF(B138="","",IF(J138&lt;=0,"赤字",ROUNDUP(設定!$B$3/J138,0)))</f>
        <v/>
      </c>
      <c r="N138" s="28" t="str">
        <f aca="false">IF(B138="","",IFERROR(ROUNDDOWN(設定!$B$4/(G138+H138),0),""))</f>
        <v/>
      </c>
      <c r="O138" s="9"/>
      <c r="P138" s="29" t="str">
        <f aca="false">IF(B138="","",IF(J138&lt;=0,"× 赤字",IF(AND(K138&gt;=設定!$B$22,J138&gt;=設定!$B$23),IF(AND(O138&lt;&gt;"",N138&lt;O138),"△ 予算不足","○ OK"),"△ 利益薄い")))</f>
        <v/>
      </c>
    </row>
    <row r="139" customFormat="false" ht="15" hidden="false" customHeight="true" outlineLevel="0" collapsed="false">
      <c r="A139" s="22"/>
      <c r="B139" s="9"/>
      <c r="C139" s="38"/>
      <c r="D139" s="38"/>
      <c r="E139" s="9"/>
      <c r="F139" s="9"/>
      <c r="G139" s="28" t="str">
        <f aca="false">IF(B139="","",(C139+D139)*設定!$B$6*(1+設定!$B$7)+E139+F139)</f>
        <v/>
      </c>
      <c r="H139" s="28" t="str">
        <f aca="false">IF(B139="","",ROUND(G139*設定!$B$8+G139*(1+設定!$B$8)*設定!$B$9,0))</f>
        <v/>
      </c>
      <c r="I139" s="28" t="str">
        <f aca="false">IF(B139="","",ROUND(B139*設定!$B$10,0)+設定!$B$11+設定!$B$12)</f>
        <v/>
      </c>
      <c r="J139" s="39" t="str">
        <f aca="false">IF(B139="","",B139-G139-H139-I139)</f>
        <v/>
      </c>
      <c r="K139" s="40" t="str">
        <f aca="false">IF(B139="","",IFERROR(J139/B139,""))</f>
        <v/>
      </c>
      <c r="L139" s="40" t="str">
        <f aca="false">IF(B139="","",IFERROR(J139/(G139+H139),""))</f>
        <v/>
      </c>
      <c r="M139" s="28" t="str">
        <f aca="false">IF(B139="","",IF(J139&lt;=0,"赤字",ROUNDUP(設定!$B$3/J139,0)))</f>
        <v/>
      </c>
      <c r="N139" s="28" t="str">
        <f aca="false">IF(B139="","",IFERROR(ROUNDDOWN(設定!$B$4/(G139+H139),0),""))</f>
        <v/>
      </c>
      <c r="O139" s="9"/>
      <c r="P139" s="29" t="str">
        <f aca="false">IF(B139="","",IF(J139&lt;=0,"× 赤字",IF(AND(K139&gt;=設定!$B$22,J139&gt;=設定!$B$23),IF(AND(O139&lt;&gt;"",N139&lt;O139),"△ 予算不足","○ OK"),"△ 利益薄い")))</f>
        <v/>
      </c>
    </row>
    <row r="140" customFormat="false" ht="15" hidden="false" customHeight="true" outlineLevel="0" collapsed="false">
      <c r="A140" s="22"/>
      <c r="B140" s="9"/>
      <c r="C140" s="38"/>
      <c r="D140" s="38"/>
      <c r="E140" s="9"/>
      <c r="F140" s="9"/>
      <c r="G140" s="28" t="str">
        <f aca="false">IF(B140="","",(C140+D140)*設定!$B$6*(1+設定!$B$7)+E140+F140)</f>
        <v/>
      </c>
      <c r="H140" s="28" t="str">
        <f aca="false">IF(B140="","",ROUND(G140*設定!$B$8+G140*(1+設定!$B$8)*設定!$B$9,0))</f>
        <v/>
      </c>
      <c r="I140" s="28" t="str">
        <f aca="false">IF(B140="","",ROUND(B140*設定!$B$10,0)+設定!$B$11+設定!$B$12)</f>
        <v/>
      </c>
      <c r="J140" s="39" t="str">
        <f aca="false">IF(B140="","",B140-G140-H140-I140)</f>
        <v/>
      </c>
      <c r="K140" s="40" t="str">
        <f aca="false">IF(B140="","",IFERROR(J140/B140,""))</f>
        <v/>
      </c>
      <c r="L140" s="40" t="str">
        <f aca="false">IF(B140="","",IFERROR(J140/(G140+H140),""))</f>
        <v/>
      </c>
      <c r="M140" s="28" t="str">
        <f aca="false">IF(B140="","",IF(J140&lt;=0,"赤字",ROUNDUP(設定!$B$3/J140,0)))</f>
        <v/>
      </c>
      <c r="N140" s="28" t="str">
        <f aca="false">IF(B140="","",IFERROR(ROUNDDOWN(設定!$B$4/(G140+H140),0),""))</f>
        <v/>
      </c>
      <c r="O140" s="9"/>
      <c r="P140" s="29" t="str">
        <f aca="false">IF(B140="","",IF(J140&lt;=0,"× 赤字",IF(AND(K140&gt;=設定!$B$22,J140&gt;=設定!$B$23),IF(AND(O140&lt;&gt;"",N140&lt;O140),"△ 予算不足","○ OK"),"△ 利益薄い")))</f>
        <v/>
      </c>
    </row>
    <row r="141" customFormat="false" ht="15" hidden="false" customHeight="true" outlineLevel="0" collapsed="false">
      <c r="A141" s="22"/>
      <c r="B141" s="9"/>
      <c r="C141" s="38"/>
      <c r="D141" s="38"/>
      <c r="E141" s="9"/>
      <c r="F141" s="9"/>
      <c r="G141" s="28" t="str">
        <f aca="false">IF(B141="","",(C141+D141)*設定!$B$6*(1+設定!$B$7)+E141+F141)</f>
        <v/>
      </c>
      <c r="H141" s="28" t="str">
        <f aca="false">IF(B141="","",ROUND(G141*設定!$B$8+G141*(1+設定!$B$8)*設定!$B$9,0))</f>
        <v/>
      </c>
      <c r="I141" s="28" t="str">
        <f aca="false">IF(B141="","",ROUND(B141*設定!$B$10,0)+設定!$B$11+設定!$B$12)</f>
        <v/>
      </c>
      <c r="J141" s="39" t="str">
        <f aca="false">IF(B141="","",B141-G141-H141-I141)</f>
        <v/>
      </c>
      <c r="K141" s="40" t="str">
        <f aca="false">IF(B141="","",IFERROR(J141/B141,""))</f>
        <v/>
      </c>
      <c r="L141" s="40" t="str">
        <f aca="false">IF(B141="","",IFERROR(J141/(G141+H141),""))</f>
        <v/>
      </c>
      <c r="M141" s="28" t="str">
        <f aca="false">IF(B141="","",IF(J141&lt;=0,"赤字",ROUNDUP(設定!$B$3/J141,0)))</f>
        <v/>
      </c>
      <c r="N141" s="28" t="str">
        <f aca="false">IF(B141="","",IFERROR(ROUNDDOWN(設定!$B$4/(G141+H141),0),""))</f>
        <v/>
      </c>
      <c r="O141" s="9"/>
      <c r="P141" s="29" t="str">
        <f aca="false">IF(B141="","",IF(J141&lt;=0,"× 赤字",IF(AND(K141&gt;=設定!$B$22,J141&gt;=設定!$B$23),IF(AND(O141&lt;&gt;"",N141&lt;O141),"△ 予算不足","○ OK"),"△ 利益薄い")))</f>
        <v/>
      </c>
    </row>
    <row r="142" customFormat="false" ht="15" hidden="false" customHeight="true" outlineLevel="0" collapsed="false">
      <c r="A142" s="22"/>
      <c r="B142" s="9"/>
      <c r="C142" s="38"/>
      <c r="D142" s="38"/>
      <c r="E142" s="9"/>
      <c r="F142" s="9"/>
      <c r="G142" s="28" t="str">
        <f aca="false">IF(B142="","",(C142+D142)*設定!$B$6*(1+設定!$B$7)+E142+F142)</f>
        <v/>
      </c>
      <c r="H142" s="28" t="str">
        <f aca="false">IF(B142="","",ROUND(G142*設定!$B$8+G142*(1+設定!$B$8)*設定!$B$9,0))</f>
        <v/>
      </c>
      <c r="I142" s="28" t="str">
        <f aca="false">IF(B142="","",ROUND(B142*設定!$B$10,0)+設定!$B$11+設定!$B$12)</f>
        <v/>
      </c>
      <c r="J142" s="39" t="str">
        <f aca="false">IF(B142="","",B142-G142-H142-I142)</f>
        <v/>
      </c>
      <c r="K142" s="40" t="str">
        <f aca="false">IF(B142="","",IFERROR(J142/B142,""))</f>
        <v/>
      </c>
      <c r="L142" s="40" t="str">
        <f aca="false">IF(B142="","",IFERROR(J142/(G142+H142),""))</f>
        <v/>
      </c>
      <c r="M142" s="28" t="str">
        <f aca="false">IF(B142="","",IF(J142&lt;=0,"赤字",ROUNDUP(設定!$B$3/J142,0)))</f>
        <v/>
      </c>
      <c r="N142" s="28" t="str">
        <f aca="false">IF(B142="","",IFERROR(ROUNDDOWN(設定!$B$4/(G142+H142),0),""))</f>
        <v/>
      </c>
      <c r="O142" s="9"/>
      <c r="P142" s="29" t="str">
        <f aca="false">IF(B142="","",IF(J142&lt;=0,"× 赤字",IF(AND(K142&gt;=設定!$B$22,J142&gt;=設定!$B$23),IF(AND(O142&lt;&gt;"",N142&lt;O142),"△ 予算不足","○ OK"),"△ 利益薄い")))</f>
        <v/>
      </c>
    </row>
    <row r="143" customFormat="false" ht="15" hidden="false" customHeight="true" outlineLevel="0" collapsed="false">
      <c r="A143" s="22"/>
      <c r="B143" s="9"/>
      <c r="C143" s="38"/>
      <c r="D143" s="38"/>
      <c r="E143" s="9"/>
      <c r="F143" s="9"/>
      <c r="G143" s="28" t="str">
        <f aca="false">IF(B143="","",(C143+D143)*設定!$B$6*(1+設定!$B$7)+E143+F143)</f>
        <v/>
      </c>
      <c r="H143" s="28" t="str">
        <f aca="false">IF(B143="","",ROUND(G143*設定!$B$8+G143*(1+設定!$B$8)*設定!$B$9,0))</f>
        <v/>
      </c>
      <c r="I143" s="28" t="str">
        <f aca="false">IF(B143="","",ROUND(B143*設定!$B$10,0)+設定!$B$11+設定!$B$12)</f>
        <v/>
      </c>
      <c r="J143" s="39" t="str">
        <f aca="false">IF(B143="","",B143-G143-H143-I143)</f>
        <v/>
      </c>
      <c r="K143" s="40" t="str">
        <f aca="false">IF(B143="","",IFERROR(J143/B143,""))</f>
        <v/>
      </c>
      <c r="L143" s="40" t="str">
        <f aca="false">IF(B143="","",IFERROR(J143/(G143+H143),""))</f>
        <v/>
      </c>
      <c r="M143" s="28" t="str">
        <f aca="false">IF(B143="","",IF(J143&lt;=0,"赤字",ROUNDUP(設定!$B$3/J143,0)))</f>
        <v/>
      </c>
      <c r="N143" s="28" t="str">
        <f aca="false">IF(B143="","",IFERROR(ROUNDDOWN(設定!$B$4/(G143+H143),0),""))</f>
        <v/>
      </c>
      <c r="O143" s="9"/>
      <c r="P143" s="29" t="str">
        <f aca="false">IF(B143="","",IF(J143&lt;=0,"× 赤字",IF(AND(K143&gt;=設定!$B$22,J143&gt;=設定!$B$23),IF(AND(O143&lt;&gt;"",N143&lt;O143),"△ 予算不足","○ OK"),"△ 利益薄い")))</f>
        <v/>
      </c>
    </row>
    <row r="144" customFormat="false" ht="15" hidden="false" customHeight="true" outlineLevel="0" collapsed="false">
      <c r="A144" s="22"/>
      <c r="B144" s="9"/>
      <c r="C144" s="38"/>
      <c r="D144" s="38"/>
      <c r="E144" s="9"/>
      <c r="F144" s="9"/>
      <c r="G144" s="28" t="str">
        <f aca="false">IF(B144="","",(C144+D144)*設定!$B$6*(1+設定!$B$7)+E144+F144)</f>
        <v/>
      </c>
      <c r="H144" s="28" t="str">
        <f aca="false">IF(B144="","",ROUND(G144*設定!$B$8+G144*(1+設定!$B$8)*設定!$B$9,0))</f>
        <v/>
      </c>
      <c r="I144" s="28" t="str">
        <f aca="false">IF(B144="","",ROUND(B144*設定!$B$10,0)+設定!$B$11+設定!$B$12)</f>
        <v/>
      </c>
      <c r="J144" s="39" t="str">
        <f aca="false">IF(B144="","",B144-G144-H144-I144)</f>
        <v/>
      </c>
      <c r="K144" s="40" t="str">
        <f aca="false">IF(B144="","",IFERROR(J144/B144,""))</f>
        <v/>
      </c>
      <c r="L144" s="40" t="str">
        <f aca="false">IF(B144="","",IFERROR(J144/(G144+H144),""))</f>
        <v/>
      </c>
      <c r="M144" s="28" t="str">
        <f aca="false">IF(B144="","",IF(J144&lt;=0,"赤字",ROUNDUP(設定!$B$3/J144,0)))</f>
        <v/>
      </c>
      <c r="N144" s="28" t="str">
        <f aca="false">IF(B144="","",IFERROR(ROUNDDOWN(設定!$B$4/(G144+H144),0),""))</f>
        <v/>
      </c>
      <c r="O144" s="9"/>
      <c r="P144" s="29" t="str">
        <f aca="false">IF(B144="","",IF(J144&lt;=0,"× 赤字",IF(AND(K144&gt;=設定!$B$22,J144&gt;=設定!$B$23),IF(AND(O144&lt;&gt;"",N144&lt;O144),"△ 予算不足","○ OK"),"△ 利益薄い")))</f>
        <v/>
      </c>
    </row>
    <row r="145" customFormat="false" ht="15" hidden="false" customHeight="true" outlineLevel="0" collapsed="false">
      <c r="A145" s="22"/>
      <c r="B145" s="9"/>
      <c r="C145" s="38"/>
      <c r="D145" s="38"/>
      <c r="E145" s="9"/>
      <c r="F145" s="9"/>
      <c r="G145" s="28" t="str">
        <f aca="false">IF(B145="","",(C145+D145)*設定!$B$6*(1+設定!$B$7)+E145+F145)</f>
        <v/>
      </c>
      <c r="H145" s="28" t="str">
        <f aca="false">IF(B145="","",ROUND(G145*設定!$B$8+G145*(1+設定!$B$8)*設定!$B$9,0))</f>
        <v/>
      </c>
      <c r="I145" s="28" t="str">
        <f aca="false">IF(B145="","",ROUND(B145*設定!$B$10,0)+設定!$B$11+設定!$B$12)</f>
        <v/>
      </c>
      <c r="J145" s="39" t="str">
        <f aca="false">IF(B145="","",B145-G145-H145-I145)</f>
        <v/>
      </c>
      <c r="K145" s="40" t="str">
        <f aca="false">IF(B145="","",IFERROR(J145/B145,""))</f>
        <v/>
      </c>
      <c r="L145" s="40" t="str">
        <f aca="false">IF(B145="","",IFERROR(J145/(G145+H145),""))</f>
        <v/>
      </c>
      <c r="M145" s="28" t="str">
        <f aca="false">IF(B145="","",IF(J145&lt;=0,"赤字",ROUNDUP(設定!$B$3/J145,0)))</f>
        <v/>
      </c>
      <c r="N145" s="28" t="str">
        <f aca="false">IF(B145="","",IFERROR(ROUNDDOWN(設定!$B$4/(G145+H145),0),""))</f>
        <v/>
      </c>
      <c r="O145" s="9"/>
      <c r="P145" s="29" t="str">
        <f aca="false">IF(B145="","",IF(J145&lt;=0,"× 赤字",IF(AND(K145&gt;=設定!$B$22,J145&gt;=設定!$B$23),IF(AND(O145&lt;&gt;"",N145&lt;O145),"△ 予算不足","○ OK"),"△ 利益薄い")))</f>
        <v/>
      </c>
    </row>
    <row r="146" customFormat="false" ht="15" hidden="false" customHeight="true" outlineLevel="0" collapsed="false">
      <c r="A146" s="22"/>
      <c r="B146" s="9"/>
      <c r="C146" s="38"/>
      <c r="D146" s="38"/>
      <c r="E146" s="9"/>
      <c r="F146" s="9"/>
      <c r="G146" s="28" t="str">
        <f aca="false">IF(B146="","",(C146+D146)*設定!$B$6*(1+設定!$B$7)+E146+F146)</f>
        <v/>
      </c>
      <c r="H146" s="28" t="str">
        <f aca="false">IF(B146="","",ROUND(G146*設定!$B$8+G146*(1+設定!$B$8)*設定!$B$9,0))</f>
        <v/>
      </c>
      <c r="I146" s="28" t="str">
        <f aca="false">IF(B146="","",ROUND(B146*設定!$B$10,0)+設定!$B$11+設定!$B$12)</f>
        <v/>
      </c>
      <c r="J146" s="39" t="str">
        <f aca="false">IF(B146="","",B146-G146-H146-I146)</f>
        <v/>
      </c>
      <c r="K146" s="40" t="str">
        <f aca="false">IF(B146="","",IFERROR(J146/B146,""))</f>
        <v/>
      </c>
      <c r="L146" s="40" t="str">
        <f aca="false">IF(B146="","",IFERROR(J146/(G146+H146),""))</f>
        <v/>
      </c>
      <c r="M146" s="28" t="str">
        <f aca="false">IF(B146="","",IF(J146&lt;=0,"赤字",ROUNDUP(設定!$B$3/J146,0)))</f>
        <v/>
      </c>
      <c r="N146" s="28" t="str">
        <f aca="false">IF(B146="","",IFERROR(ROUNDDOWN(設定!$B$4/(G146+H146),0),""))</f>
        <v/>
      </c>
      <c r="O146" s="9"/>
      <c r="P146" s="29" t="str">
        <f aca="false">IF(B146="","",IF(J146&lt;=0,"× 赤字",IF(AND(K146&gt;=設定!$B$22,J146&gt;=設定!$B$23),IF(AND(O146&lt;&gt;"",N146&lt;O146),"△ 予算不足","○ OK"),"△ 利益薄い")))</f>
        <v/>
      </c>
    </row>
    <row r="147" customFormat="false" ht="15" hidden="false" customHeight="true" outlineLevel="0" collapsed="false">
      <c r="A147" s="22"/>
      <c r="B147" s="9"/>
      <c r="C147" s="38"/>
      <c r="D147" s="38"/>
      <c r="E147" s="9"/>
      <c r="F147" s="9"/>
      <c r="G147" s="28" t="str">
        <f aca="false">IF(B147="","",(C147+D147)*設定!$B$6*(1+設定!$B$7)+E147+F147)</f>
        <v/>
      </c>
      <c r="H147" s="28" t="str">
        <f aca="false">IF(B147="","",ROUND(G147*設定!$B$8+G147*(1+設定!$B$8)*設定!$B$9,0))</f>
        <v/>
      </c>
      <c r="I147" s="28" t="str">
        <f aca="false">IF(B147="","",ROUND(B147*設定!$B$10,0)+設定!$B$11+設定!$B$12)</f>
        <v/>
      </c>
      <c r="J147" s="39" t="str">
        <f aca="false">IF(B147="","",B147-G147-H147-I147)</f>
        <v/>
      </c>
      <c r="K147" s="40" t="str">
        <f aca="false">IF(B147="","",IFERROR(J147/B147,""))</f>
        <v/>
      </c>
      <c r="L147" s="40" t="str">
        <f aca="false">IF(B147="","",IFERROR(J147/(G147+H147),""))</f>
        <v/>
      </c>
      <c r="M147" s="28" t="str">
        <f aca="false">IF(B147="","",IF(J147&lt;=0,"赤字",ROUNDUP(設定!$B$3/J147,0)))</f>
        <v/>
      </c>
      <c r="N147" s="28" t="str">
        <f aca="false">IF(B147="","",IFERROR(ROUNDDOWN(設定!$B$4/(G147+H147),0),""))</f>
        <v/>
      </c>
      <c r="O147" s="9"/>
      <c r="P147" s="29" t="str">
        <f aca="false">IF(B147="","",IF(J147&lt;=0,"× 赤字",IF(AND(K147&gt;=設定!$B$22,J147&gt;=設定!$B$23),IF(AND(O147&lt;&gt;"",N147&lt;O147),"△ 予算不足","○ OK"),"△ 利益薄い")))</f>
        <v/>
      </c>
    </row>
    <row r="148" customFormat="false" ht="15" hidden="false" customHeight="true" outlineLevel="0" collapsed="false">
      <c r="A148" s="22"/>
      <c r="B148" s="9"/>
      <c r="C148" s="38"/>
      <c r="D148" s="38"/>
      <c r="E148" s="9"/>
      <c r="F148" s="9"/>
      <c r="G148" s="28" t="str">
        <f aca="false">IF(B148="","",(C148+D148)*設定!$B$6*(1+設定!$B$7)+E148+F148)</f>
        <v/>
      </c>
      <c r="H148" s="28" t="str">
        <f aca="false">IF(B148="","",ROUND(G148*設定!$B$8+G148*(1+設定!$B$8)*設定!$B$9,0))</f>
        <v/>
      </c>
      <c r="I148" s="28" t="str">
        <f aca="false">IF(B148="","",ROUND(B148*設定!$B$10,0)+設定!$B$11+設定!$B$12)</f>
        <v/>
      </c>
      <c r="J148" s="39" t="str">
        <f aca="false">IF(B148="","",B148-G148-H148-I148)</f>
        <v/>
      </c>
      <c r="K148" s="40" t="str">
        <f aca="false">IF(B148="","",IFERROR(J148/B148,""))</f>
        <v/>
      </c>
      <c r="L148" s="40" t="str">
        <f aca="false">IF(B148="","",IFERROR(J148/(G148+H148),""))</f>
        <v/>
      </c>
      <c r="M148" s="28" t="str">
        <f aca="false">IF(B148="","",IF(J148&lt;=0,"赤字",ROUNDUP(設定!$B$3/J148,0)))</f>
        <v/>
      </c>
      <c r="N148" s="28" t="str">
        <f aca="false">IF(B148="","",IFERROR(ROUNDDOWN(設定!$B$4/(G148+H148),0),""))</f>
        <v/>
      </c>
      <c r="O148" s="9"/>
      <c r="P148" s="29" t="str">
        <f aca="false">IF(B148="","",IF(J148&lt;=0,"× 赤字",IF(AND(K148&gt;=設定!$B$22,J148&gt;=設定!$B$23),IF(AND(O148&lt;&gt;"",N148&lt;O148),"△ 予算不足","○ OK"),"△ 利益薄い")))</f>
        <v/>
      </c>
    </row>
    <row r="149" customFormat="false" ht="15" hidden="false" customHeight="true" outlineLevel="0" collapsed="false">
      <c r="A149" s="22"/>
      <c r="B149" s="9"/>
      <c r="C149" s="38"/>
      <c r="D149" s="38"/>
      <c r="E149" s="9"/>
      <c r="F149" s="9"/>
      <c r="G149" s="28" t="str">
        <f aca="false">IF(B149="","",(C149+D149)*設定!$B$6*(1+設定!$B$7)+E149+F149)</f>
        <v/>
      </c>
      <c r="H149" s="28" t="str">
        <f aca="false">IF(B149="","",ROUND(G149*設定!$B$8+G149*(1+設定!$B$8)*設定!$B$9,0))</f>
        <v/>
      </c>
      <c r="I149" s="28" t="str">
        <f aca="false">IF(B149="","",ROUND(B149*設定!$B$10,0)+設定!$B$11+設定!$B$12)</f>
        <v/>
      </c>
      <c r="J149" s="39" t="str">
        <f aca="false">IF(B149="","",B149-G149-H149-I149)</f>
        <v/>
      </c>
      <c r="K149" s="40" t="str">
        <f aca="false">IF(B149="","",IFERROR(J149/B149,""))</f>
        <v/>
      </c>
      <c r="L149" s="40" t="str">
        <f aca="false">IF(B149="","",IFERROR(J149/(G149+H149),""))</f>
        <v/>
      </c>
      <c r="M149" s="28" t="str">
        <f aca="false">IF(B149="","",IF(J149&lt;=0,"赤字",ROUNDUP(設定!$B$3/J149,0)))</f>
        <v/>
      </c>
      <c r="N149" s="28" t="str">
        <f aca="false">IF(B149="","",IFERROR(ROUNDDOWN(設定!$B$4/(G149+H149),0),""))</f>
        <v/>
      </c>
      <c r="O149" s="9"/>
      <c r="P149" s="29" t="str">
        <f aca="false">IF(B149="","",IF(J149&lt;=0,"× 赤字",IF(AND(K149&gt;=設定!$B$22,J149&gt;=設定!$B$23),IF(AND(O149&lt;&gt;"",N149&lt;O149),"△ 予算不足","○ OK"),"△ 利益薄い")))</f>
        <v/>
      </c>
    </row>
    <row r="150" customFormat="false" ht="15" hidden="false" customHeight="true" outlineLevel="0" collapsed="false">
      <c r="A150" s="22"/>
      <c r="B150" s="9"/>
      <c r="C150" s="38"/>
      <c r="D150" s="38"/>
      <c r="E150" s="9"/>
      <c r="F150" s="9"/>
      <c r="G150" s="28" t="str">
        <f aca="false">IF(B150="","",(C150+D150)*設定!$B$6*(1+設定!$B$7)+E150+F150)</f>
        <v/>
      </c>
      <c r="H150" s="28" t="str">
        <f aca="false">IF(B150="","",ROUND(G150*設定!$B$8+G150*(1+設定!$B$8)*設定!$B$9,0))</f>
        <v/>
      </c>
      <c r="I150" s="28" t="str">
        <f aca="false">IF(B150="","",ROUND(B150*設定!$B$10,0)+設定!$B$11+設定!$B$12)</f>
        <v/>
      </c>
      <c r="J150" s="39" t="str">
        <f aca="false">IF(B150="","",B150-G150-H150-I150)</f>
        <v/>
      </c>
      <c r="K150" s="40" t="str">
        <f aca="false">IF(B150="","",IFERROR(J150/B150,""))</f>
        <v/>
      </c>
      <c r="L150" s="40" t="str">
        <f aca="false">IF(B150="","",IFERROR(J150/(G150+H150),""))</f>
        <v/>
      </c>
      <c r="M150" s="28" t="str">
        <f aca="false">IF(B150="","",IF(J150&lt;=0,"赤字",ROUNDUP(設定!$B$3/J150,0)))</f>
        <v/>
      </c>
      <c r="N150" s="28" t="str">
        <f aca="false">IF(B150="","",IFERROR(ROUNDDOWN(設定!$B$4/(G150+H150),0),""))</f>
        <v/>
      </c>
      <c r="O150" s="9"/>
      <c r="P150" s="29" t="str">
        <f aca="false">IF(B150="","",IF(J150&lt;=0,"× 赤字",IF(AND(K150&gt;=設定!$B$22,J150&gt;=設定!$B$23),IF(AND(O150&lt;&gt;"",N150&lt;O150),"△ 予算不足","○ OK"),"△ 利益薄い")))</f>
        <v/>
      </c>
    </row>
    <row r="151" customFormat="false" ht="15" hidden="false" customHeight="true" outlineLevel="0" collapsed="false">
      <c r="A151" s="22"/>
      <c r="B151" s="9"/>
      <c r="C151" s="38"/>
      <c r="D151" s="38"/>
      <c r="E151" s="9"/>
      <c r="F151" s="9"/>
      <c r="G151" s="28" t="str">
        <f aca="false">IF(B151="","",(C151+D151)*設定!$B$6*(1+設定!$B$7)+E151+F151)</f>
        <v/>
      </c>
      <c r="H151" s="28" t="str">
        <f aca="false">IF(B151="","",ROUND(G151*設定!$B$8+G151*(1+設定!$B$8)*設定!$B$9,0))</f>
        <v/>
      </c>
      <c r="I151" s="28" t="str">
        <f aca="false">IF(B151="","",ROUND(B151*設定!$B$10,0)+設定!$B$11+設定!$B$12)</f>
        <v/>
      </c>
      <c r="J151" s="39" t="str">
        <f aca="false">IF(B151="","",B151-G151-H151-I151)</f>
        <v/>
      </c>
      <c r="K151" s="40" t="str">
        <f aca="false">IF(B151="","",IFERROR(J151/B151,""))</f>
        <v/>
      </c>
      <c r="L151" s="40" t="str">
        <f aca="false">IF(B151="","",IFERROR(J151/(G151+H151),""))</f>
        <v/>
      </c>
      <c r="M151" s="28" t="str">
        <f aca="false">IF(B151="","",IF(J151&lt;=0,"赤字",ROUNDUP(設定!$B$3/J151,0)))</f>
        <v/>
      </c>
      <c r="N151" s="28" t="str">
        <f aca="false">IF(B151="","",IFERROR(ROUNDDOWN(設定!$B$4/(G151+H151),0),""))</f>
        <v/>
      </c>
      <c r="O151" s="9"/>
      <c r="P151" s="29" t="str">
        <f aca="false">IF(B151="","",IF(J151&lt;=0,"× 赤字",IF(AND(K151&gt;=設定!$B$22,J151&gt;=設定!$B$23),IF(AND(O151&lt;&gt;"",N151&lt;O151),"△ 予算不足","○ OK"),"△ 利益薄い")))</f>
        <v/>
      </c>
    </row>
    <row r="152" customFormat="false" ht="15" hidden="false" customHeight="true" outlineLevel="0" collapsed="false">
      <c r="A152" s="22"/>
      <c r="B152" s="9"/>
      <c r="C152" s="38"/>
      <c r="D152" s="38"/>
      <c r="E152" s="9"/>
      <c r="F152" s="9"/>
      <c r="G152" s="28" t="str">
        <f aca="false">IF(B152="","",(C152+D152)*設定!$B$6*(1+設定!$B$7)+E152+F152)</f>
        <v/>
      </c>
      <c r="H152" s="28" t="str">
        <f aca="false">IF(B152="","",ROUND(G152*設定!$B$8+G152*(1+設定!$B$8)*設定!$B$9,0))</f>
        <v/>
      </c>
      <c r="I152" s="28" t="str">
        <f aca="false">IF(B152="","",ROUND(B152*設定!$B$10,0)+設定!$B$11+設定!$B$12)</f>
        <v/>
      </c>
      <c r="J152" s="39" t="str">
        <f aca="false">IF(B152="","",B152-G152-H152-I152)</f>
        <v/>
      </c>
      <c r="K152" s="40" t="str">
        <f aca="false">IF(B152="","",IFERROR(J152/B152,""))</f>
        <v/>
      </c>
      <c r="L152" s="40" t="str">
        <f aca="false">IF(B152="","",IFERROR(J152/(G152+H152),""))</f>
        <v/>
      </c>
      <c r="M152" s="28" t="str">
        <f aca="false">IF(B152="","",IF(J152&lt;=0,"赤字",ROUNDUP(設定!$B$3/J152,0)))</f>
        <v/>
      </c>
      <c r="N152" s="28" t="str">
        <f aca="false">IF(B152="","",IFERROR(ROUNDDOWN(設定!$B$4/(G152+H152),0),""))</f>
        <v/>
      </c>
      <c r="O152" s="9"/>
      <c r="P152" s="29" t="str">
        <f aca="false">IF(B152="","",IF(J152&lt;=0,"× 赤字",IF(AND(K152&gt;=設定!$B$22,J152&gt;=設定!$B$23),IF(AND(O152&lt;&gt;"",N152&lt;O152),"△ 予算不足","○ OK"),"△ 利益薄い")))</f>
        <v/>
      </c>
    </row>
    <row r="153" customFormat="false" ht="15" hidden="false" customHeight="true" outlineLevel="0" collapsed="false">
      <c r="A153" s="22"/>
      <c r="B153" s="9"/>
      <c r="C153" s="38"/>
      <c r="D153" s="38"/>
      <c r="E153" s="9"/>
      <c r="F153" s="9"/>
      <c r="G153" s="28" t="str">
        <f aca="false">IF(B153="","",(C153+D153)*設定!$B$6*(1+設定!$B$7)+E153+F153)</f>
        <v/>
      </c>
      <c r="H153" s="28" t="str">
        <f aca="false">IF(B153="","",ROUND(G153*設定!$B$8+G153*(1+設定!$B$8)*設定!$B$9,0))</f>
        <v/>
      </c>
      <c r="I153" s="28" t="str">
        <f aca="false">IF(B153="","",ROUND(B153*設定!$B$10,0)+設定!$B$11+設定!$B$12)</f>
        <v/>
      </c>
      <c r="J153" s="39" t="str">
        <f aca="false">IF(B153="","",B153-G153-H153-I153)</f>
        <v/>
      </c>
      <c r="K153" s="40" t="str">
        <f aca="false">IF(B153="","",IFERROR(J153/B153,""))</f>
        <v/>
      </c>
      <c r="L153" s="40" t="str">
        <f aca="false">IF(B153="","",IFERROR(J153/(G153+H153),""))</f>
        <v/>
      </c>
      <c r="M153" s="28" t="str">
        <f aca="false">IF(B153="","",IF(J153&lt;=0,"赤字",ROUNDUP(設定!$B$3/J153,0)))</f>
        <v/>
      </c>
      <c r="N153" s="28" t="str">
        <f aca="false">IF(B153="","",IFERROR(ROUNDDOWN(設定!$B$4/(G153+H153),0),""))</f>
        <v/>
      </c>
      <c r="O153" s="9"/>
      <c r="P153" s="29" t="str">
        <f aca="false">IF(B153="","",IF(J153&lt;=0,"× 赤字",IF(AND(K153&gt;=設定!$B$22,J153&gt;=設定!$B$23),IF(AND(O153&lt;&gt;"",N153&lt;O153),"△ 予算不足","○ OK"),"△ 利益薄い")))</f>
        <v/>
      </c>
    </row>
    <row r="154" customFormat="false" ht="15" hidden="false" customHeight="true" outlineLevel="0" collapsed="false">
      <c r="A154" s="22"/>
      <c r="B154" s="9"/>
      <c r="C154" s="38"/>
      <c r="D154" s="38"/>
      <c r="E154" s="9"/>
      <c r="F154" s="9"/>
      <c r="G154" s="28" t="str">
        <f aca="false">IF(B154="","",(C154+D154)*設定!$B$6*(1+設定!$B$7)+E154+F154)</f>
        <v/>
      </c>
      <c r="H154" s="28" t="str">
        <f aca="false">IF(B154="","",ROUND(G154*設定!$B$8+G154*(1+設定!$B$8)*設定!$B$9,0))</f>
        <v/>
      </c>
      <c r="I154" s="28" t="str">
        <f aca="false">IF(B154="","",ROUND(B154*設定!$B$10,0)+設定!$B$11+設定!$B$12)</f>
        <v/>
      </c>
      <c r="J154" s="39" t="str">
        <f aca="false">IF(B154="","",B154-G154-H154-I154)</f>
        <v/>
      </c>
      <c r="K154" s="40" t="str">
        <f aca="false">IF(B154="","",IFERROR(J154/B154,""))</f>
        <v/>
      </c>
      <c r="L154" s="40" t="str">
        <f aca="false">IF(B154="","",IFERROR(J154/(G154+H154),""))</f>
        <v/>
      </c>
      <c r="M154" s="28" t="str">
        <f aca="false">IF(B154="","",IF(J154&lt;=0,"赤字",ROUNDUP(設定!$B$3/J154,0)))</f>
        <v/>
      </c>
      <c r="N154" s="28" t="str">
        <f aca="false">IF(B154="","",IFERROR(ROUNDDOWN(設定!$B$4/(G154+H154),0),""))</f>
        <v/>
      </c>
      <c r="O154" s="9"/>
      <c r="P154" s="29" t="str">
        <f aca="false">IF(B154="","",IF(J154&lt;=0,"× 赤字",IF(AND(K154&gt;=設定!$B$22,J154&gt;=設定!$B$23),IF(AND(O154&lt;&gt;"",N154&lt;O154),"△ 予算不足","○ OK"),"△ 利益薄い")))</f>
        <v/>
      </c>
    </row>
    <row r="155" customFormat="false" ht="15" hidden="false" customHeight="true" outlineLevel="0" collapsed="false">
      <c r="A155" s="22"/>
      <c r="B155" s="9"/>
      <c r="C155" s="38"/>
      <c r="D155" s="38"/>
      <c r="E155" s="9"/>
      <c r="F155" s="9"/>
      <c r="G155" s="28" t="str">
        <f aca="false">IF(B155="","",(C155+D155)*設定!$B$6*(1+設定!$B$7)+E155+F155)</f>
        <v/>
      </c>
      <c r="H155" s="28" t="str">
        <f aca="false">IF(B155="","",ROUND(G155*設定!$B$8+G155*(1+設定!$B$8)*設定!$B$9,0))</f>
        <v/>
      </c>
      <c r="I155" s="28" t="str">
        <f aca="false">IF(B155="","",ROUND(B155*設定!$B$10,0)+設定!$B$11+設定!$B$12)</f>
        <v/>
      </c>
      <c r="J155" s="39" t="str">
        <f aca="false">IF(B155="","",B155-G155-H155-I155)</f>
        <v/>
      </c>
      <c r="K155" s="40" t="str">
        <f aca="false">IF(B155="","",IFERROR(J155/B155,""))</f>
        <v/>
      </c>
      <c r="L155" s="40" t="str">
        <f aca="false">IF(B155="","",IFERROR(J155/(G155+H155),""))</f>
        <v/>
      </c>
      <c r="M155" s="28" t="str">
        <f aca="false">IF(B155="","",IF(J155&lt;=0,"赤字",ROUNDUP(設定!$B$3/J155,0)))</f>
        <v/>
      </c>
      <c r="N155" s="28" t="str">
        <f aca="false">IF(B155="","",IFERROR(ROUNDDOWN(設定!$B$4/(G155+H155),0),""))</f>
        <v/>
      </c>
      <c r="O155" s="9"/>
      <c r="P155" s="29" t="str">
        <f aca="false">IF(B155="","",IF(J155&lt;=0,"× 赤字",IF(AND(K155&gt;=設定!$B$22,J155&gt;=設定!$B$23),IF(AND(O155&lt;&gt;"",N155&lt;O155),"△ 予算不足","○ OK"),"△ 利益薄い")))</f>
        <v/>
      </c>
    </row>
    <row r="156" customFormat="false" ht="15" hidden="false" customHeight="true" outlineLevel="0" collapsed="false">
      <c r="A156" s="22"/>
      <c r="B156" s="9"/>
      <c r="C156" s="38"/>
      <c r="D156" s="38"/>
      <c r="E156" s="9"/>
      <c r="F156" s="9"/>
      <c r="G156" s="28" t="str">
        <f aca="false">IF(B156="","",(C156+D156)*設定!$B$6*(1+設定!$B$7)+E156+F156)</f>
        <v/>
      </c>
      <c r="H156" s="28" t="str">
        <f aca="false">IF(B156="","",ROUND(G156*設定!$B$8+G156*(1+設定!$B$8)*設定!$B$9,0))</f>
        <v/>
      </c>
      <c r="I156" s="28" t="str">
        <f aca="false">IF(B156="","",ROUND(B156*設定!$B$10,0)+設定!$B$11+設定!$B$12)</f>
        <v/>
      </c>
      <c r="J156" s="39" t="str">
        <f aca="false">IF(B156="","",B156-G156-H156-I156)</f>
        <v/>
      </c>
      <c r="K156" s="40" t="str">
        <f aca="false">IF(B156="","",IFERROR(J156/B156,""))</f>
        <v/>
      </c>
      <c r="L156" s="40" t="str">
        <f aca="false">IF(B156="","",IFERROR(J156/(G156+H156),""))</f>
        <v/>
      </c>
      <c r="M156" s="28" t="str">
        <f aca="false">IF(B156="","",IF(J156&lt;=0,"赤字",ROUNDUP(設定!$B$3/J156,0)))</f>
        <v/>
      </c>
      <c r="N156" s="28" t="str">
        <f aca="false">IF(B156="","",IFERROR(ROUNDDOWN(設定!$B$4/(G156+H156),0),""))</f>
        <v/>
      </c>
      <c r="O156" s="9"/>
      <c r="P156" s="29" t="str">
        <f aca="false">IF(B156="","",IF(J156&lt;=0,"× 赤字",IF(AND(K156&gt;=設定!$B$22,J156&gt;=設定!$B$23),IF(AND(O156&lt;&gt;"",N156&lt;O156),"△ 予算不足","○ OK"),"△ 利益薄い")))</f>
        <v/>
      </c>
    </row>
    <row r="157" customFormat="false" ht="15" hidden="false" customHeight="true" outlineLevel="0" collapsed="false">
      <c r="A157" s="22"/>
      <c r="B157" s="9"/>
      <c r="C157" s="38"/>
      <c r="D157" s="38"/>
      <c r="E157" s="9"/>
      <c r="F157" s="9"/>
      <c r="G157" s="28" t="str">
        <f aca="false">IF(B157="","",(C157+D157)*設定!$B$6*(1+設定!$B$7)+E157+F157)</f>
        <v/>
      </c>
      <c r="H157" s="28" t="str">
        <f aca="false">IF(B157="","",ROUND(G157*設定!$B$8+G157*(1+設定!$B$8)*設定!$B$9,0))</f>
        <v/>
      </c>
      <c r="I157" s="28" t="str">
        <f aca="false">IF(B157="","",ROUND(B157*設定!$B$10,0)+設定!$B$11+設定!$B$12)</f>
        <v/>
      </c>
      <c r="J157" s="39" t="str">
        <f aca="false">IF(B157="","",B157-G157-H157-I157)</f>
        <v/>
      </c>
      <c r="K157" s="40" t="str">
        <f aca="false">IF(B157="","",IFERROR(J157/B157,""))</f>
        <v/>
      </c>
      <c r="L157" s="40" t="str">
        <f aca="false">IF(B157="","",IFERROR(J157/(G157+H157),""))</f>
        <v/>
      </c>
      <c r="M157" s="28" t="str">
        <f aca="false">IF(B157="","",IF(J157&lt;=0,"赤字",ROUNDUP(設定!$B$3/J157,0)))</f>
        <v/>
      </c>
      <c r="N157" s="28" t="str">
        <f aca="false">IF(B157="","",IFERROR(ROUNDDOWN(設定!$B$4/(G157+H157),0),""))</f>
        <v/>
      </c>
      <c r="O157" s="9"/>
      <c r="P157" s="29" t="str">
        <f aca="false">IF(B157="","",IF(J157&lt;=0,"× 赤字",IF(AND(K157&gt;=設定!$B$22,J157&gt;=設定!$B$23),IF(AND(O157&lt;&gt;"",N157&lt;O157),"△ 予算不足","○ OK"),"△ 利益薄い")))</f>
        <v/>
      </c>
    </row>
    <row r="158" customFormat="false" ht="15" hidden="false" customHeight="true" outlineLevel="0" collapsed="false">
      <c r="A158" s="22"/>
      <c r="B158" s="9"/>
      <c r="C158" s="38"/>
      <c r="D158" s="38"/>
      <c r="E158" s="9"/>
      <c r="F158" s="9"/>
      <c r="G158" s="28" t="str">
        <f aca="false">IF(B158="","",(C158+D158)*設定!$B$6*(1+設定!$B$7)+E158+F158)</f>
        <v/>
      </c>
      <c r="H158" s="28" t="str">
        <f aca="false">IF(B158="","",ROUND(G158*設定!$B$8+G158*(1+設定!$B$8)*設定!$B$9,0))</f>
        <v/>
      </c>
      <c r="I158" s="28" t="str">
        <f aca="false">IF(B158="","",ROUND(B158*設定!$B$10,0)+設定!$B$11+設定!$B$12)</f>
        <v/>
      </c>
      <c r="J158" s="39" t="str">
        <f aca="false">IF(B158="","",B158-G158-H158-I158)</f>
        <v/>
      </c>
      <c r="K158" s="40" t="str">
        <f aca="false">IF(B158="","",IFERROR(J158/B158,""))</f>
        <v/>
      </c>
      <c r="L158" s="40" t="str">
        <f aca="false">IF(B158="","",IFERROR(J158/(G158+H158),""))</f>
        <v/>
      </c>
      <c r="M158" s="28" t="str">
        <f aca="false">IF(B158="","",IF(J158&lt;=0,"赤字",ROUNDUP(設定!$B$3/J158,0)))</f>
        <v/>
      </c>
      <c r="N158" s="28" t="str">
        <f aca="false">IF(B158="","",IFERROR(ROUNDDOWN(設定!$B$4/(G158+H158),0),""))</f>
        <v/>
      </c>
      <c r="O158" s="9"/>
      <c r="P158" s="29" t="str">
        <f aca="false">IF(B158="","",IF(J158&lt;=0,"× 赤字",IF(AND(K158&gt;=設定!$B$22,J158&gt;=設定!$B$23),IF(AND(O158&lt;&gt;"",N158&lt;O158),"△ 予算不足","○ OK"),"△ 利益薄い")))</f>
        <v/>
      </c>
    </row>
    <row r="159" customFormat="false" ht="15" hidden="false" customHeight="true" outlineLevel="0" collapsed="false">
      <c r="A159" s="22"/>
      <c r="B159" s="9"/>
      <c r="C159" s="38"/>
      <c r="D159" s="38"/>
      <c r="E159" s="9"/>
      <c r="F159" s="9"/>
      <c r="G159" s="28" t="str">
        <f aca="false">IF(B159="","",(C159+D159)*設定!$B$6*(1+設定!$B$7)+E159+F159)</f>
        <v/>
      </c>
      <c r="H159" s="28" t="str">
        <f aca="false">IF(B159="","",ROUND(G159*設定!$B$8+G159*(1+設定!$B$8)*設定!$B$9,0))</f>
        <v/>
      </c>
      <c r="I159" s="28" t="str">
        <f aca="false">IF(B159="","",ROUND(B159*設定!$B$10,0)+設定!$B$11+設定!$B$12)</f>
        <v/>
      </c>
      <c r="J159" s="39" t="str">
        <f aca="false">IF(B159="","",B159-G159-H159-I159)</f>
        <v/>
      </c>
      <c r="K159" s="40" t="str">
        <f aca="false">IF(B159="","",IFERROR(J159/B159,""))</f>
        <v/>
      </c>
      <c r="L159" s="40" t="str">
        <f aca="false">IF(B159="","",IFERROR(J159/(G159+H159),""))</f>
        <v/>
      </c>
      <c r="M159" s="28" t="str">
        <f aca="false">IF(B159="","",IF(J159&lt;=0,"赤字",ROUNDUP(設定!$B$3/J159,0)))</f>
        <v/>
      </c>
      <c r="N159" s="28" t="str">
        <f aca="false">IF(B159="","",IFERROR(ROUNDDOWN(設定!$B$4/(G159+H159),0),""))</f>
        <v/>
      </c>
      <c r="O159" s="9"/>
      <c r="P159" s="29" t="str">
        <f aca="false">IF(B159="","",IF(J159&lt;=0,"× 赤字",IF(AND(K159&gt;=設定!$B$22,J159&gt;=設定!$B$23),IF(AND(O159&lt;&gt;"",N159&lt;O159),"△ 予算不足","○ OK"),"△ 利益薄い")))</f>
        <v/>
      </c>
    </row>
    <row r="160" customFormat="false" ht="15" hidden="false" customHeight="true" outlineLevel="0" collapsed="false">
      <c r="A160" s="22"/>
      <c r="B160" s="9"/>
      <c r="C160" s="38"/>
      <c r="D160" s="38"/>
      <c r="E160" s="9"/>
      <c r="F160" s="9"/>
      <c r="G160" s="28" t="str">
        <f aca="false">IF(B160="","",(C160+D160)*設定!$B$6*(1+設定!$B$7)+E160+F160)</f>
        <v/>
      </c>
      <c r="H160" s="28" t="str">
        <f aca="false">IF(B160="","",ROUND(G160*設定!$B$8+G160*(1+設定!$B$8)*設定!$B$9,0))</f>
        <v/>
      </c>
      <c r="I160" s="28" t="str">
        <f aca="false">IF(B160="","",ROUND(B160*設定!$B$10,0)+設定!$B$11+設定!$B$12)</f>
        <v/>
      </c>
      <c r="J160" s="39" t="str">
        <f aca="false">IF(B160="","",B160-G160-H160-I160)</f>
        <v/>
      </c>
      <c r="K160" s="40" t="str">
        <f aca="false">IF(B160="","",IFERROR(J160/B160,""))</f>
        <v/>
      </c>
      <c r="L160" s="40" t="str">
        <f aca="false">IF(B160="","",IFERROR(J160/(G160+H160),""))</f>
        <v/>
      </c>
      <c r="M160" s="28" t="str">
        <f aca="false">IF(B160="","",IF(J160&lt;=0,"赤字",ROUNDUP(設定!$B$3/J160,0)))</f>
        <v/>
      </c>
      <c r="N160" s="28" t="str">
        <f aca="false">IF(B160="","",IFERROR(ROUNDDOWN(設定!$B$4/(G160+H160),0),""))</f>
        <v/>
      </c>
      <c r="O160" s="9"/>
      <c r="P160" s="29" t="str">
        <f aca="false">IF(B160="","",IF(J160&lt;=0,"× 赤字",IF(AND(K160&gt;=設定!$B$22,J160&gt;=設定!$B$23),IF(AND(O160&lt;&gt;"",N160&lt;O160),"△ 予算不足","○ OK"),"△ 利益薄い")))</f>
        <v/>
      </c>
    </row>
    <row r="161" customFormat="false" ht="15" hidden="false" customHeight="true" outlineLevel="0" collapsed="false">
      <c r="A161" s="22"/>
      <c r="B161" s="9"/>
      <c r="C161" s="38"/>
      <c r="D161" s="38"/>
      <c r="E161" s="9"/>
      <c r="F161" s="9"/>
      <c r="G161" s="28" t="str">
        <f aca="false">IF(B161="","",(C161+D161)*設定!$B$6*(1+設定!$B$7)+E161+F161)</f>
        <v/>
      </c>
      <c r="H161" s="28" t="str">
        <f aca="false">IF(B161="","",ROUND(G161*設定!$B$8+G161*(1+設定!$B$8)*設定!$B$9,0))</f>
        <v/>
      </c>
      <c r="I161" s="28" t="str">
        <f aca="false">IF(B161="","",ROUND(B161*設定!$B$10,0)+設定!$B$11+設定!$B$12)</f>
        <v/>
      </c>
      <c r="J161" s="39" t="str">
        <f aca="false">IF(B161="","",B161-G161-H161-I161)</f>
        <v/>
      </c>
      <c r="K161" s="40" t="str">
        <f aca="false">IF(B161="","",IFERROR(J161/B161,""))</f>
        <v/>
      </c>
      <c r="L161" s="40" t="str">
        <f aca="false">IF(B161="","",IFERROR(J161/(G161+H161),""))</f>
        <v/>
      </c>
      <c r="M161" s="28" t="str">
        <f aca="false">IF(B161="","",IF(J161&lt;=0,"赤字",ROUNDUP(設定!$B$3/J161,0)))</f>
        <v/>
      </c>
      <c r="N161" s="28" t="str">
        <f aca="false">IF(B161="","",IFERROR(ROUNDDOWN(設定!$B$4/(G161+H161),0),""))</f>
        <v/>
      </c>
      <c r="O161" s="9"/>
      <c r="P161" s="29" t="str">
        <f aca="false">IF(B161="","",IF(J161&lt;=0,"× 赤字",IF(AND(K161&gt;=設定!$B$22,J161&gt;=設定!$B$23),IF(AND(O161&lt;&gt;"",N161&lt;O161),"△ 予算不足","○ OK"),"△ 利益薄い")))</f>
        <v/>
      </c>
    </row>
    <row r="162" customFormat="false" ht="15" hidden="false" customHeight="true" outlineLevel="0" collapsed="false">
      <c r="A162" s="22"/>
      <c r="B162" s="9"/>
      <c r="C162" s="38"/>
      <c r="D162" s="38"/>
      <c r="E162" s="9"/>
      <c r="F162" s="9"/>
      <c r="G162" s="28" t="str">
        <f aca="false">IF(B162="","",(C162+D162)*設定!$B$6*(1+設定!$B$7)+E162+F162)</f>
        <v/>
      </c>
      <c r="H162" s="28" t="str">
        <f aca="false">IF(B162="","",ROUND(G162*設定!$B$8+G162*(1+設定!$B$8)*設定!$B$9,0))</f>
        <v/>
      </c>
      <c r="I162" s="28" t="str">
        <f aca="false">IF(B162="","",ROUND(B162*設定!$B$10,0)+設定!$B$11+設定!$B$12)</f>
        <v/>
      </c>
      <c r="J162" s="39" t="str">
        <f aca="false">IF(B162="","",B162-G162-H162-I162)</f>
        <v/>
      </c>
      <c r="K162" s="40" t="str">
        <f aca="false">IF(B162="","",IFERROR(J162/B162,""))</f>
        <v/>
      </c>
      <c r="L162" s="40" t="str">
        <f aca="false">IF(B162="","",IFERROR(J162/(G162+H162),""))</f>
        <v/>
      </c>
      <c r="M162" s="28" t="str">
        <f aca="false">IF(B162="","",IF(J162&lt;=0,"赤字",ROUNDUP(設定!$B$3/J162,0)))</f>
        <v/>
      </c>
      <c r="N162" s="28" t="str">
        <f aca="false">IF(B162="","",IFERROR(ROUNDDOWN(設定!$B$4/(G162+H162),0),""))</f>
        <v/>
      </c>
      <c r="O162" s="9"/>
      <c r="P162" s="29" t="str">
        <f aca="false">IF(B162="","",IF(J162&lt;=0,"× 赤字",IF(AND(K162&gt;=設定!$B$22,J162&gt;=設定!$B$23),IF(AND(O162&lt;&gt;"",N162&lt;O162),"△ 予算不足","○ OK"),"△ 利益薄い")))</f>
        <v/>
      </c>
    </row>
    <row r="163" customFormat="false" ht="15" hidden="false" customHeight="true" outlineLevel="0" collapsed="false">
      <c r="A163" s="22"/>
      <c r="B163" s="9"/>
      <c r="C163" s="38"/>
      <c r="D163" s="38"/>
      <c r="E163" s="9"/>
      <c r="F163" s="9"/>
      <c r="G163" s="28" t="str">
        <f aca="false">IF(B163="","",(C163+D163)*設定!$B$6*(1+設定!$B$7)+E163+F163)</f>
        <v/>
      </c>
      <c r="H163" s="28" t="str">
        <f aca="false">IF(B163="","",ROUND(G163*設定!$B$8+G163*(1+設定!$B$8)*設定!$B$9,0))</f>
        <v/>
      </c>
      <c r="I163" s="28" t="str">
        <f aca="false">IF(B163="","",ROUND(B163*設定!$B$10,0)+設定!$B$11+設定!$B$12)</f>
        <v/>
      </c>
      <c r="J163" s="39" t="str">
        <f aca="false">IF(B163="","",B163-G163-H163-I163)</f>
        <v/>
      </c>
      <c r="K163" s="40" t="str">
        <f aca="false">IF(B163="","",IFERROR(J163/B163,""))</f>
        <v/>
      </c>
      <c r="L163" s="40" t="str">
        <f aca="false">IF(B163="","",IFERROR(J163/(G163+H163),""))</f>
        <v/>
      </c>
      <c r="M163" s="28" t="str">
        <f aca="false">IF(B163="","",IF(J163&lt;=0,"赤字",ROUNDUP(設定!$B$3/J163,0)))</f>
        <v/>
      </c>
      <c r="N163" s="28" t="str">
        <f aca="false">IF(B163="","",IFERROR(ROUNDDOWN(設定!$B$4/(G163+H163),0),""))</f>
        <v/>
      </c>
      <c r="O163" s="9"/>
      <c r="P163" s="29" t="str">
        <f aca="false">IF(B163="","",IF(J163&lt;=0,"× 赤字",IF(AND(K163&gt;=設定!$B$22,J163&gt;=設定!$B$23),IF(AND(O163&lt;&gt;"",N163&lt;O163),"△ 予算不足","○ OK"),"△ 利益薄い")))</f>
        <v/>
      </c>
    </row>
    <row r="164" customFormat="false" ht="15" hidden="false" customHeight="true" outlineLevel="0" collapsed="false">
      <c r="A164" s="22"/>
      <c r="B164" s="9"/>
      <c r="C164" s="38"/>
      <c r="D164" s="38"/>
      <c r="E164" s="9"/>
      <c r="F164" s="9"/>
      <c r="G164" s="28" t="str">
        <f aca="false">IF(B164="","",(C164+D164)*設定!$B$6*(1+設定!$B$7)+E164+F164)</f>
        <v/>
      </c>
      <c r="H164" s="28" t="str">
        <f aca="false">IF(B164="","",ROUND(G164*設定!$B$8+G164*(1+設定!$B$8)*設定!$B$9,0))</f>
        <v/>
      </c>
      <c r="I164" s="28" t="str">
        <f aca="false">IF(B164="","",ROUND(B164*設定!$B$10,0)+設定!$B$11+設定!$B$12)</f>
        <v/>
      </c>
      <c r="J164" s="39" t="str">
        <f aca="false">IF(B164="","",B164-G164-H164-I164)</f>
        <v/>
      </c>
      <c r="K164" s="40" t="str">
        <f aca="false">IF(B164="","",IFERROR(J164/B164,""))</f>
        <v/>
      </c>
      <c r="L164" s="40" t="str">
        <f aca="false">IF(B164="","",IFERROR(J164/(G164+H164),""))</f>
        <v/>
      </c>
      <c r="M164" s="28" t="str">
        <f aca="false">IF(B164="","",IF(J164&lt;=0,"赤字",ROUNDUP(設定!$B$3/J164,0)))</f>
        <v/>
      </c>
      <c r="N164" s="28" t="str">
        <f aca="false">IF(B164="","",IFERROR(ROUNDDOWN(設定!$B$4/(G164+H164),0),""))</f>
        <v/>
      </c>
      <c r="O164" s="9"/>
      <c r="P164" s="29" t="str">
        <f aca="false">IF(B164="","",IF(J164&lt;=0,"× 赤字",IF(AND(K164&gt;=設定!$B$22,J164&gt;=設定!$B$23),IF(AND(O164&lt;&gt;"",N164&lt;O164),"△ 予算不足","○ OK"),"△ 利益薄い")))</f>
        <v/>
      </c>
    </row>
    <row r="165" customFormat="false" ht="15" hidden="false" customHeight="true" outlineLevel="0" collapsed="false">
      <c r="A165" s="22"/>
      <c r="B165" s="9"/>
      <c r="C165" s="38"/>
      <c r="D165" s="38"/>
      <c r="E165" s="9"/>
      <c r="F165" s="9"/>
      <c r="G165" s="28" t="str">
        <f aca="false">IF(B165="","",(C165+D165)*設定!$B$6*(1+設定!$B$7)+E165+F165)</f>
        <v/>
      </c>
      <c r="H165" s="28" t="str">
        <f aca="false">IF(B165="","",ROUND(G165*設定!$B$8+G165*(1+設定!$B$8)*設定!$B$9,0))</f>
        <v/>
      </c>
      <c r="I165" s="28" t="str">
        <f aca="false">IF(B165="","",ROUND(B165*設定!$B$10,0)+設定!$B$11+設定!$B$12)</f>
        <v/>
      </c>
      <c r="J165" s="39" t="str">
        <f aca="false">IF(B165="","",B165-G165-H165-I165)</f>
        <v/>
      </c>
      <c r="K165" s="40" t="str">
        <f aca="false">IF(B165="","",IFERROR(J165/B165,""))</f>
        <v/>
      </c>
      <c r="L165" s="40" t="str">
        <f aca="false">IF(B165="","",IFERROR(J165/(G165+H165),""))</f>
        <v/>
      </c>
      <c r="M165" s="28" t="str">
        <f aca="false">IF(B165="","",IF(J165&lt;=0,"赤字",ROUNDUP(設定!$B$3/J165,0)))</f>
        <v/>
      </c>
      <c r="N165" s="28" t="str">
        <f aca="false">IF(B165="","",IFERROR(ROUNDDOWN(設定!$B$4/(G165+H165),0),""))</f>
        <v/>
      </c>
      <c r="O165" s="9"/>
      <c r="P165" s="29" t="str">
        <f aca="false">IF(B165="","",IF(J165&lt;=0,"× 赤字",IF(AND(K165&gt;=設定!$B$22,J165&gt;=設定!$B$23),IF(AND(O165&lt;&gt;"",N165&lt;O165),"△ 予算不足","○ OK"),"△ 利益薄い")))</f>
        <v/>
      </c>
    </row>
    <row r="166" customFormat="false" ht="15" hidden="false" customHeight="true" outlineLevel="0" collapsed="false">
      <c r="A166" s="22"/>
      <c r="B166" s="9"/>
      <c r="C166" s="38"/>
      <c r="D166" s="38"/>
      <c r="E166" s="9"/>
      <c r="F166" s="9"/>
      <c r="G166" s="28" t="str">
        <f aca="false">IF(B166="","",(C166+D166)*設定!$B$6*(1+設定!$B$7)+E166+F166)</f>
        <v/>
      </c>
      <c r="H166" s="28" t="str">
        <f aca="false">IF(B166="","",ROUND(G166*設定!$B$8+G166*(1+設定!$B$8)*設定!$B$9,0))</f>
        <v/>
      </c>
      <c r="I166" s="28" t="str">
        <f aca="false">IF(B166="","",ROUND(B166*設定!$B$10,0)+設定!$B$11+設定!$B$12)</f>
        <v/>
      </c>
      <c r="J166" s="39" t="str">
        <f aca="false">IF(B166="","",B166-G166-H166-I166)</f>
        <v/>
      </c>
      <c r="K166" s="40" t="str">
        <f aca="false">IF(B166="","",IFERROR(J166/B166,""))</f>
        <v/>
      </c>
      <c r="L166" s="40" t="str">
        <f aca="false">IF(B166="","",IFERROR(J166/(G166+H166),""))</f>
        <v/>
      </c>
      <c r="M166" s="28" t="str">
        <f aca="false">IF(B166="","",IF(J166&lt;=0,"赤字",ROUNDUP(設定!$B$3/J166,0)))</f>
        <v/>
      </c>
      <c r="N166" s="28" t="str">
        <f aca="false">IF(B166="","",IFERROR(ROUNDDOWN(設定!$B$4/(G166+H166),0),""))</f>
        <v/>
      </c>
      <c r="O166" s="9"/>
      <c r="P166" s="29" t="str">
        <f aca="false">IF(B166="","",IF(J166&lt;=0,"× 赤字",IF(AND(K166&gt;=設定!$B$22,J166&gt;=設定!$B$23),IF(AND(O166&lt;&gt;"",N166&lt;O166),"△ 予算不足","○ OK"),"△ 利益薄い")))</f>
        <v/>
      </c>
    </row>
    <row r="167" customFormat="false" ht="15" hidden="false" customHeight="true" outlineLevel="0" collapsed="false">
      <c r="A167" s="22"/>
      <c r="B167" s="9"/>
      <c r="C167" s="38"/>
      <c r="D167" s="38"/>
      <c r="E167" s="9"/>
      <c r="F167" s="9"/>
      <c r="G167" s="28" t="str">
        <f aca="false">IF(B167="","",(C167+D167)*設定!$B$6*(1+設定!$B$7)+E167+F167)</f>
        <v/>
      </c>
      <c r="H167" s="28" t="str">
        <f aca="false">IF(B167="","",ROUND(G167*設定!$B$8+G167*(1+設定!$B$8)*設定!$B$9,0))</f>
        <v/>
      </c>
      <c r="I167" s="28" t="str">
        <f aca="false">IF(B167="","",ROUND(B167*設定!$B$10,0)+設定!$B$11+設定!$B$12)</f>
        <v/>
      </c>
      <c r="J167" s="39" t="str">
        <f aca="false">IF(B167="","",B167-G167-H167-I167)</f>
        <v/>
      </c>
      <c r="K167" s="40" t="str">
        <f aca="false">IF(B167="","",IFERROR(J167/B167,""))</f>
        <v/>
      </c>
      <c r="L167" s="40" t="str">
        <f aca="false">IF(B167="","",IFERROR(J167/(G167+H167),""))</f>
        <v/>
      </c>
      <c r="M167" s="28" t="str">
        <f aca="false">IF(B167="","",IF(J167&lt;=0,"赤字",ROUNDUP(設定!$B$3/J167,0)))</f>
        <v/>
      </c>
      <c r="N167" s="28" t="str">
        <f aca="false">IF(B167="","",IFERROR(ROUNDDOWN(設定!$B$4/(G167+H167),0),""))</f>
        <v/>
      </c>
      <c r="O167" s="9"/>
      <c r="P167" s="29" t="str">
        <f aca="false">IF(B167="","",IF(J167&lt;=0,"× 赤字",IF(AND(K167&gt;=設定!$B$22,J167&gt;=設定!$B$23),IF(AND(O167&lt;&gt;"",N167&lt;O167),"△ 予算不足","○ OK"),"△ 利益薄い")))</f>
        <v/>
      </c>
    </row>
    <row r="168" customFormat="false" ht="15" hidden="false" customHeight="true" outlineLevel="0" collapsed="false">
      <c r="A168" s="22"/>
      <c r="B168" s="9"/>
      <c r="C168" s="38"/>
      <c r="D168" s="38"/>
      <c r="E168" s="9"/>
      <c r="F168" s="9"/>
      <c r="G168" s="28" t="str">
        <f aca="false">IF(B168="","",(C168+D168)*設定!$B$6*(1+設定!$B$7)+E168+F168)</f>
        <v/>
      </c>
      <c r="H168" s="28" t="str">
        <f aca="false">IF(B168="","",ROUND(G168*設定!$B$8+G168*(1+設定!$B$8)*設定!$B$9,0))</f>
        <v/>
      </c>
      <c r="I168" s="28" t="str">
        <f aca="false">IF(B168="","",ROUND(B168*設定!$B$10,0)+設定!$B$11+設定!$B$12)</f>
        <v/>
      </c>
      <c r="J168" s="39" t="str">
        <f aca="false">IF(B168="","",B168-G168-H168-I168)</f>
        <v/>
      </c>
      <c r="K168" s="40" t="str">
        <f aca="false">IF(B168="","",IFERROR(J168/B168,""))</f>
        <v/>
      </c>
      <c r="L168" s="40" t="str">
        <f aca="false">IF(B168="","",IFERROR(J168/(G168+H168),""))</f>
        <v/>
      </c>
      <c r="M168" s="28" t="str">
        <f aca="false">IF(B168="","",IF(J168&lt;=0,"赤字",ROUNDUP(設定!$B$3/J168,0)))</f>
        <v/>
      </c>
      <c r="N168" s="28" t="str">
        <f aca="false">IF(B168="","",IFERROR(ROUNDDOWN(設定!$B$4/(G168+H168),0),""))</f>
        <v/>
      </c>
      <c r="O168" s="9"/>
      <c r="P168" s="29" t="str">
        <f aca="false">IF(B168="","",IF(J168&lt;=0,"× 赤字",IF(AND(K168&gt;=設定!$B$22,J168&gt;=設定!$B$23),IF(AND(O168&lt;&gt;"",N168&lt;O168),"△ 予算不足","○ OK"),"△ 利益薄い")))</f>
        <v/>
      </c>
    </row>
    <row r="169" customFormat="false" ht="15" hidden="false" customHeight="true" outlineLevel="0" collapsed="false">
      <c r="A169" s="22"/>
      <c r="B169" s="9"/>
      <c r="C169" s="38"/>
      <c r="D169" s="38"/>
      <c r="E169" s="9"/>
      <c r="F169" s="9"/>
      <c r="G169" s="28" t="str">
        <f aca="false">IF(B169="","",(C169+D169)*設定!$B$6*(1+設定!$B$7)+E169+F169)</f>
        <v/>
      </c>
      <c r="H169" s="28" t="str">
        <f aca="false">IF(B169="","",ROUND(G169*設定!$B$8+G169*(1+設定!$B$8)*設定!$B$9,0))</f>
        <v/>
      </c>
      <c r="I169" s="28" t="str">
        <f aca="false">IF(B169="","",ROUND(B169*設定!$B$10,0)+設定!$B$11+設定!$B$12)</f>
        <v/>
      </c>
      <c r="J169" s="39" t="str">
        <f aca="false">IF(B169="","",B169-G169-H169-I169)</f>
        <v/>
      </c>
      <c r="K169" s="40" t="str">
        <f aca="false">IF(B169="","",IFERROR(J169/B169,""))</f>
        <v/>
      </c>
      <c r="L169" s="40" t="str">
        <f aca="false">IF(B169="","",IFERROR(J169/(G169+H169),""))</f>
        <v/>
      </c>
      <c r="M169" s="28" t="str">
        <f aca="false">IF(B169="","",IF(J169&lt;=0,"赤字",ROUNDUP(設定!$B$3/J169,0)))</f>
        <v/>
      </c>
      <c r="N169" s="28" t="str">
        <f aca="false">IF(B169="","",IFERROR(ROUNDDOWN(設定!$B$4/(G169+H169),0),""))</f>
        <v/>
      </c>
      <c r="O169" s="9"/>
      <c r="P169" s="29" t="str">
        <f aca="false">IF(B169="","",IF(J169&lt;=0,"× 赤字",IF(AND(K169&gt;=設定!$B$22,J169&gt;=設定!$B$23),IF(AND(O169&lt;&gt;"",N169&lt;O169),"△ 予算不足","○ OK"),"△ 利益薄い")))</f>
        <v/>
      </c>
    </row>
    <row r="170" customFormat="false" ht="15" hidden="false" customHeight="true" outlineLevel="0" collapsed="false">
      <c r="A170" s="22"/>
      <c r="B170" s="9"/>
      <c r="C170" s="38"/>
      <c r="D170" s="38"/>
      <c r="E170" s="9"/>
      <c r="F170" s="9"/>
      <c r="G170" s="28" t="str">
        <f aca="false">IF(B170="","",(C170+D170)*設定!$B$6*(1+設定!$B$7)+E170+F170)</f>
        <v/>
      </c>
      <c r="H170" s="28" t="str">
        <f aca="false">IF(B170="","",ROUND(G170*設定!$B$8+G170*(1+設定!$B$8)*設定!$B$9,0))</f>
        <v/>
      </c>
      <c r="I170" s="28" t="str">
        <f aca="false">IF(B170="","",ROUND(B170*設定!$B$10,0)+設定!$B$11+設定!$B$12)</f>
        <v/>
      </c>
      <c r="J170" s="39" t="str">
        <f aca="false">IF(B170="","",B170-G170-H170-I170)</f>
        <v/>
      </c>
      <c r="K170" s="40" t="str">
        <f aca="false">IF(B170="","",IFERROR(J170/B170,""))</f>
        <v/>
      </c>
      <c r="L170" s="40" t="str">
        <f aca="false">IF(B170="","",IFERROR(J170/(G170+H170),""))</f>
        <v/>
      </c>
      <c r="M170" s="28" t="str">
        <f aca="false">IF(B170="","",IF(J170&lt;=0,"赤字",ROUNDUP(設定!$B$3/J170,0)))</f>
        <v/>
      </c>
      <c r="N170" s="28" t="str">
        <f aca="false">IF(B170="","",IFERROR(ROUNDDOWN(設定!$B$4/(G170+H170),0),""))</f>
        <v/>
      </c>
      <c r="O170" s="9"/>
      <c r="P170" s="29" t="str">
        <f aca="false">IF(B170="","",IF(J170&lt;=0,"× 赤字",IF(AND(K170&gt;=設定!$B$22,J170&gt;=設定!$B$23),IF(AND(O170&lt;&gt;"",N170&lt;O170),"△ 予算不足","○ OK"),"△ 利益薄い")))</f>
        <v/>
      </c>
    </row>
    <row r="171" customFormat="false" ht="15" hidden="false" customHeight="true" outlineLevel="0" collapsed="false">
      <c r="A171" s="22"/>
      <c r="B171" s="9"/>
      <c r="C171" s="38"/>
      <c r="D171" s="38"/>
      <c r="E171" s="9"/>
      <c r="F171" s="9"/>
      <c r="G171" s="28" t="str">
        <f aca="false">IF(B171="","",(C171+D171)*設定!$B$6*(1+設定!$B$7)+E171+F171)</f>
        <v/>
      </c>
      <c r="H171" s="28" t="str">
        <f aca="false">IF(B171="","",ROUND(G171*設定!$B$8+G171*(1+設定!$B$8)*設定!$B$9,0))</f>
        <v/>
      </c>
      <c r="I171" s="28" t="str">
        <f aca="false">IF(B171="","",ROUND(B171*設定!$B$10,0)+設定!$B$11+設定!$B$12)</f>
        <v/>
      </c>
      <c r="J171" s="39" t="str">
        <f aca="false">IF(B171="","",B171-G171-H171-I171)</f>
        <v/>
      </c>
      <c r="K171" s="40" t="str">
        <f aca="false">IF(B171="","",IFERROR(J171/B171,""))</f>
        <v/>
      </c>
      <c r="L171" s="40" t="str">
        <f aca="false">IF(B171="","",IFERROR(J171/(G171+H171),""))</f>
        <v/>
      </c>
      <c r="M171" s="28" t="str">
        <f aca="false">IF(B171="","",IF(J171&lt;=0,"赤字",ROUNDUP(設定!$B$3/J171,0)))</f>
        <v/>
      </c>
      <c r="N171" s="28" t="str">
        <f aca="false">IF(B171="","",IFERROR(ROUNDDOWN(設定!$B$4/(G171+H171),0),""))</f>
        <v/>
      </c>
      <c r="O171" s="9"/>
      <c r="P171" s="29" t="str">
        <f aca="false">IF(B171="","",IF(J171&lt;=0,"× 赤字",IF(AND(K171&gt;=設定!$B$22,J171&gt;=設定!$B$23),IF(AND(O171&lt;&gt;"",N171&lt;O171),"△ 予算不足","○ OK"),"△ 利益薄い")))</f>
        <v/>
      </c>
    </row>
    <row r="172" customFormat="false" ht="15" hidden="false" customHeight="true" outlineLevel="0" collapsed="false">
      <c r="A172" s="22"/>
      <c r="B172" s="9"/>
      <c r="C172" s="38"/>
      <c r="D172" s="38"/>
      <c r="E172" s="9"/>
      <c r="F172" s="9"/>
      <c r="G172" s="28" t="str">
        <f aca="false">IF(B172="","",(C172+D172)*設定!$B$6*(1+設定!$B$7)+E172+F172)</f>
        <v/>
      </c>
      <c r="H172" s="28" t="str">
        <f aca="false">IF(B172="","",ROUND(G172*設定!$B$8+G172*(1+設定!$B$8)*設定!$B$9,0))</f>
        <v/>
      </c>
      <c r="I172" s="28" t="str">
        <f aca="false">IF(B172="","",ROUND(B172*設定!$B$10,0)+設定!$B$11+設定!$B$12)</f>
        <v/>
      </c>
      <c r="J172" s="39" t="str">
        <f aca="false">IF(B172="","",B172-G172-H172-I172)</f>
        <v/>
      </c>
      <c r="K172" s="40" t="str">
        <f aca="false">IF(B172="","",IFERROR(J172/B172,""))</f>
        <v/>
      </c>
      <c r="L172" s="40" t="str">
        <f aca="false">IF(B172="","",IFERROR(J172/(G172+H172),""))</f>
        <v/>
      </c>
      <c r="M172" s="28" t="str">
        <f aca="false">IF(B172="","",IF(J172&lt;=0,"赤字",ROUNDUP(設定!$B$3/J172,0)))</f>
        <v/>
      </c>
      <c r="N172" s="28" t="str">
        <f aca="false">IF(B172="","",IFERROR(ROUNDDOWN(設定!$B$4/(G172+H172),0),""))</f>
        <v/>
      </c>
      <c r="O172" s="9"/>
      <c r="P172" s="29" t="str">
        <f aca="false">IF(B172="","",IF(J172&lt;=0,"× 赤字",IF(AND(K172&gt;=設定!$B$22,J172&gt;=設定!$B$23),IF(AND(O172&lt;&gt;"",N172&lt;O172),"△ 予算不足","○ OK"),"△ 利益薄い")))</f>
        <v/>
      </c>
    </row>
    <row r="173" customFormat="false" ht="15" hidden="false" customHeight="true" outlineLevel="0" collapsed="false">
      <c r="A173" s="22"/>
      <c r="B173" s="9"/>
      <c r="C173" s="38"/>
      <c r="D173" s="38"/>
      <c r="E173" s="9"/>
      <c r="F173" s="9"/>
      <c r="G173" s="28" t="str">
        <f aca="false">IF(B173="","",(C173+D173)*設定!$B$6*(1+設定!$B$7)+E173+F173)</f>
        <v/>
      </c>
      <c r="H173" s="28" t="str">
        <f aca="false">IF(B173="","",ROUND(G173*設定!$B$8+G173*(1+設定!$B$8)*設定!$B$9,0))</f>
        <v/>
      </c>
      <c r="I173" s="28" t="str">
        <f aca="false">IF(B173="","",ROUND(B173*設定!$B$10,0)+設定!$B$11+設定!$B$12)</f>
        <v/>
      </c>
      <c r="J173" s="39" t="str">
        <f aca="false">IF(B173="","",B173-G173-H173-I173)</f>
        <v/>
      </c>
      <c r="K173" s="40" t="str">
        <f aca="false">IF(B173="","",IFERROR(J173/B173,""))</f>
        <v/>
      </c>
      <c r="L173" s="40" t="str">
        <f aca="false">IF(B173="","",IFERROR(J173/(G173+H173),""))</f>
        <v/>
      </c>
      <c r="M173" s="28" t="str">
        <f aca="false">IF(B173="","",IF(J173&lt;=0,"赤字",ROUNDUP(設定!$B$3/J173,0)))</f>
        <v/>
      </c>
      <c r="N173" s="28" t="str">
        <f aca="false">IF(B173="","",IFERROR(ROUNDDOWN(設定!$B$4/(G173+H173),0),""))</f>
        <v/>
      </c>
      <c r="O173" s="9"/>
      <c r="P173" s="29" t="str">
        <f aca="false">IF(B173="","",IF(J173&lt;=0,"× 赤字",IF(AND(K173&gt;=設定!$B$22,J173&gt;=設定!$B$23),IF(AND(O173&lt;&gt;"",N173&lt;O173),"△ 予算不足","○ OK"),"△ 利益薄い")))</f>
        <v/>
      </c>
    </row>
    <row r="174" customFormat="false" ht="15" hidden="false" customHeight="true" outlineLevel="0" collapsed="false">
      <c r="A174" s="22"/>
      <c r="B174" s="9"/>
      <c r="C174" s="38"/>
      <c r="D174" s="38"/>
      <c r="E174" s="9"/>
      <c r="F174" s="9"/>
      <c r="G174" s="28" t="str">
        <f aca="false">IF(B174="","",(C174+D174)*設定!$B$6*(1+設定!$B$7)+E174+F174)</f>
        <v/>
      </c>
      <c r="H174" s="28" t="str">
        <f aca="false">IF(B174="","",ROUND(G174*設定!$B$8+G174*(1+設定!$B$8)*設定!$B$9,0))</f>
        <v/>
      </c>
      <c r="I174" s="28" t="str">
        <f aca="false">IF(B174="","",ROUND(B174*設定!$B$10,0)+設定!$B$11+設定!$B$12)</f>
        <v/>
      </c>
      <c r="J174" s="39" t="str">
        <f aca="false">IF(B174="","",B174-G174-H174-I174)</f>
        <v/>
      </c>
      <c r="K174" s="40" t="str">
        <f aca="false">IF(B174="","",IFERROR(J174/B174,""))</f>
        <v/>
      </c>
      <c r="L174" s="40" t="str">
        <f aca="false">IF(B174="","",IFERROR(J174/(G174+H174),""))</f>
        <v/>
      </c>
      <c r="M174" s="28" t="str">
        <f aca="false">IF(B174="","",IF(J174&lt;=0,"赤字",ROUNDUP(設定!$B$3/J174,0)))</f>
        <v/>
      </c>
      <c r="N174" s="28" t="str">
        <f aca="false">IF(B174="","",IFERROR(ROUNDDOWN(設定!$B$4/(G174+H174),0),""))</f>
        <v/>
      </c>
      <c r="O174" s="9"/>
      <c r="P174" s="29" t="str">
        <f aca="false">IF(B174="","",IF(J174&lt;=0,"× 赤字",IF(AND(K174&gt;=設定!$B$22,J174&gt;=設定!$B$23),IF(AND(O174&lt;&gt;"",N174&lt;O174),"△ 予算不足","○ OK"),"△ 利益薄い")))</f>
        <v/>
      </c>
    </row>
    <row r="175" customFormat="false" ht="15" hidden="false" customHeight="true" outlineLevel="0" collapsed="false">
      <c r="A175" s="22"/>
      <c r="B175" s="9"/>
      <c r="C175" s="38"/>
      <c r="D175" s="38"/>
      <c r="E175" s="9"/>
      <c r="F175" s="9"/>
      <c r="G175" s="28" t="str">
        <f aca="false">IF(B175="","",(C175+D175)*設定!$B$6*(1+設定!$B$7)+E175+F175)</f>
        <v/>
      </c>
      <c r="H175" s="28" t="str">
        <f aca="false">IF(B175="","",ROUND(G175*設定!$B$8+G175*(1+設定!$B$8)*設定!$B$9,0))</f>
        <v/>
      </c>
      <c r="I175" s="28" t="str">
        <f aca="false">IF(B175="","",ROUND(B175*設定!$B$10,0)+設定!$B$11+設定!$B$12)</f>
        <v/>
      </c>
      <c r="J175" s="39" t="str">
        <f aca="false">IF(B175="","",B175-G175-H175-I175)</f>
        <v/>
      </c>
      <c r="K175" s="40" t="str">
        <f aca="false">IF(B175="","",IFERROR(J175/B175,""))</f>
        <v/>
      </c>
      <c r="L175" s="40" t="str">
        <f aca="false">IF(B175="","",IFERROR(J175/(G175+H175),""))</f>
        <v/>
      </c>
      <c r="M175" s="28" t="str">
        <f aca="false">IF(B175="","",IF(J175&lt;=0,"赤字",ROUNDUP(設定!$B$3/J175,0)))</f>
        <v/>
      </c>
      <c r="N175" s="28" t="str">
        <f aca="false">IF(B175="","",IFERROR(ROUNDDOWN(設定!$B$4/(G175+H175),0),""))</f>
        <v/>
      </c>
      <c r="O175" s="9"/>
      <c r="P175" s="29" t="str">
        <f aca="false">IF(B175="","",IF(J175&lt;=0,"× 赤字",IF(AND(K175&gt;=設定!$B$22,J175&gt;=設定!$B$23),IF(AND(O175&lt;&gt;"",N175&lt;O175),"△ 予算不足","○ OK"),"△ 利益薄い")))</f>
        <v/>
      </c>
    </row>
    <row r="176" customFormat="false" ht="15" hidden="false" customHeight="true" outlineLevel="0" collapsed="false">
      <c r="A176" s="22"/>
      <c r="B176" s="9"/>
      <c r="C176" s="38"/>
      <c r="D176" s="38"/>
      <c r="E176" s="9"/>
      <c r="F176" s="9"/>
      <c r="G176" s="28" t="str">
        <f aca="false">IF(B176="","",(C176+D176)*設定!$B$6*(1+設定!$B$7)+E176+F176)</f>
        <v/>
      </c>
      <c r="H176" s="28" t="str">
        <f aca="false">IF(B176="","",ROUND(G176*設定!$B$8+G176*(1+設定!$B$8)*設定!$B$9,0))</f>
        <v/>
      </c>
      <c r="I176" s="28" t="str">
        <f aca="false">IF(B176="","",ROUND(B176*設定!$B$10,0)+設定!$B$11+設定!$B$12)</f>
        <v/>
      </c>
      <c r="J176" s="39" t="str">
        <f aca="false">IF(B176="","",B176-G176-H176-I176)</f>
        <v/>
      </c>
      <c r="K176" s="40" t="str">
        <f aca="false">IF(B176="","",IFERROR(J176/B176,""))</f>
        <v/>
      </c>
      <c r="L176" s="40" t="str">
        <f aca="false">IF(B176="","",IFERROR(J176/(G176+H176),""))</f>
        <v/>
      </c>
      <c r="M176" s="28" t="str">
        <f aca="false">IF(B176="","",IF(J176&lt;=0,"赤字",ROUNDUP(設定!$B$3/J176,0)))</f>
        <v/>
      </c>
      <c r="N176" s="28" t="str">
        <f aca="false">IF(B176="","",IFERROR(ROUNDDOWN(設定!$B$4/(G176+H176),0),""))</f>
        <v/>
      </c>
      <c r="O176" s="9"/>
      <c r="P176" s="29" t="str">
        <f aca="false">IF(B176="","",IF(J176&lt;=0,"× 赤字",IF(AND(K176&gt;=設定!$B$22,J176&gt;=設定!$B$23),IF(AND(O176&lt;&gt;"",N176&lt;O176),"△ 予算不足","○ OK"),"△ 利益薄い")))</f>
        <v/>
      </c>
    </row>
    <row r="177" customFormat="false" ht="15" hidden="false" customHeight="true" outlineLevel="0" collapsed="false">
      <c r="A177" s="22"/>
      <c r="B177" s="9"/>
      <c r="C177" s="38"/>
      <c r="D177" s="38"/>
      <c r="E177" s="9"/>
      <c r="F177" s="9"/>
      <c r="G177" s="28" t="str">
        <f aca="false">IF(B177="","",(C177+D177)*設定!$B$6*(1+設定!$B$7)+E177+F177)</f>
        <v/>
      </c>
      <c r="H177" s="28" t="str">
        <f aca="false">IF(B177="","",ROUND(G177*設定!$B$8+G177*(1+設定!$B$8)*設定!$B$9,0))</f>
        <v/>
      </c>
      <c r="I177" s="28" t="str">
        <f aca="false">IF(B177="","",ROUND(B177*設定!$B$10,0)+設定!$B$11+設定!$B$12)</f>
        <v/>
      </c>
      <c r="J177" s="39" t="str">
        <f aca="false">IF(B177="","",B177-G177-H177-I177)</f>
        <v/>
      </c>
      <c r="K177" s="40" t="str">
        <f aca="false">IF(B177="","",IFERROR(J177/B177,""))</f>
        <v/>
      </c>
      <c r="L177" s="40" t="str">
        <f aca="false">IF(B177="","",IFERROR(J177/(G177+H177),""))</f>
        <v/>
      </c>
      <c r="M177" s="28" t="str">
        <f aca="false">IF(B177="","",IF(J177&lt;=0,"赤字",ROUNDUP(設定!$B$3/J177,0)))</f>
        <v/>
      </c>
      <c r="N177" s="28" t="str">
        <f aca="false">IF(B177="","",IFERROR(ROUNDDOWN(設定!$B$4/(G177+H177),0),""))</f>
        <v/>
      </c>
      <c r="O177" s="9"/>
      <c r="P177" s="29" t="str">
        <f aca="false">IF(B177="","",IF(J177&lt;=0,"× 赤字",IF(AND(K177&gt;=設定!$B$22,J177&gt;=設定!$B$23),IF(AND(O177&lt;&gt;"",N177&lt;O177),"△ 予算不足","○ OK"),"△ 利益薄い")))</f>
        <v/>
      </c>
    </row>
    <row r="178" customFormat="false" ht="15" hidden="false" customHeight="true" outlineLevel="0" collapsed="false">
      <c r="A178" s="22"/>
      <c r="B178" s="9"/>
      <c r="C178" s="38"/>
      <c r="D178" s="38"/>
      <c r="E178" s="9"/>
      <c r="F178" s="9"/>
      <c r="G178" s="28" t="str">
        <f aca="false">IF(B178="","",(C178+D178)*設定!$B$6*(1+設定!$B$7)+E178+F178)</f>
        <v/>
      </c>
      <c r="H178" s="28" t="str">
        <f aca="false">IF(B178="","",ROUND(G178*設定!$B$8+G178*(1+設定!$B$8)*設定!$B$9,0))</f>
        <v/>
      </c>
      <c r="I178" s="28" t="str">
        <f aca="false">IF(B178="","",ROUND(B178*設定!$B$10,0)+設定!$B$11+設定!$B$12)</f>
        <v/>
      </c>
      <c r="J178" s="39" t="str">
        <f aca="false">IF(B178="","",B178-G178-H178-I178)</f>
        <v/>
      </c>
      <c r="K178" s="40" t="str">
        <f aca="false">IF(B178="","",IFERROR(J178/B178,""))</f>
        <v/>
      </c>
      <c r="L178" s="40" t="str">
        <f aca="false">IF(B178="","",IFERROR(J178/(G178+H178),""))</f>
        <v/>
      </c>
      <c r="M178" s="28" t="str">
        <f aca="false">IF(B178="","",IF(J178&lt;=0,"赤字",ROUNDUP(設定!$B$3/J178,0)))</f>
        <v/>
      </c>
      <c r="N178" s="28" t="str">
        <f aca="false">IF(B178="","",IFERROR(ROUNDDOWN(設定!$B$4/(G178+H178),0),""))</f>
        <v/>
      </c>
      <c r="O178" s="9"/>
      <c r="P178" s="29" t="str">
        <f aca="false">IF(B178="","",IF(J178&lt;=0,"× 赤字",IF(AND(K178&gt;=設定!$B$22,J178&gt;=設定!$B$23),IF(AND(O178&lt;&gt;"",N178&lt;O178),"△ 予算不足","○ OK"),"△ 利益薄い")))</f>
        <v/>
      </c>
    </row>
    <row r="179" customFormat="false" ht="15" hidden="false" customHeight="true" outlineLevel="0" collapsed="false">
      <c r="A179" s="22"/>
      <c r="B179" s="9"/>
      <c r="C179" s="38"/>
      <c r="D179" s="38"/>
      <c r="E179" s="9"/>
      <c r="F179" s="9"/>
      <c r="G179" s="28" t="str">
        <f aca="false">IF(B179="","",(C179+D179)*設定!$B$6*(1+設定!$B$7)+E179+F179)</f>
        <v/>
      </c>
      <c r="H179" s="28" t="str">
        <f aca="false">IF(B179="","",ROUND(G179*設定!$B$8+G179*(1+設定!$B$8)*設定!$B$9,0))</f>
        <v/>
      </c>
      <c r="I179" s="28" t="str">
        <f aca="false">IF(B179="","",ROUND(B179*設定!$B$10,0)+設定!$B$11+設定!$B$12)</f>
        <v/>
      </c>
      <c r="J179" s="39" t="str">
        <f aca="false">IF(B179="","",B179-G179-H179-I179)</f>
        <v/>
      </c>
      <c r="K179" s="40" t="str">
        <f aca="false">IF(B179="","",IFERROR(J179/B179,""))</f>
        <v/>
      </c>
      <c r="L179" s="40" t="str">
        <f aca="false">IF(B179="","",IFERROR(J179/(G179+H179),""))</f>
        <v/>
      </c>
      <c r="M179" s="28" t="str">
        <f aca="false">IF(B179="","",IF(J179&lt;=0,"赤字",ROUNDUP(設定!$B$3/J179,0)))</f>
        <v/>
      </c>
      <c r="N179" s="28" t="str">
        <f aca="false">IF(B179="","",IFERROR(ROUNDDOWN(設定!$B$4/(G179+H179),0),""))</f>
        <v/>
      </c>
      <c r="O179" s="9"/>
      <c r="P179" s="29" t="str">
        <f aca="false">IF(B179="","",IF(J179&lt;=0,"× 赤字",IF(AND(K179&gt;=設定!$B$22,J179&gt;=設定!$B$23),IF(AND(O179&lt;&gt;"",N179&lt;O179),"△ 予算不足","○ OK"),"△ 利益薄い")))</f>
        <v/>
      </c>
    </row>
    <row r="180" customFormat="false" ht="15" hidden="false" customHeight="true" outlineLevel="0" collapsed="false">
      <c r="A180" s="22"/>
      <c r="B180" s="9"/>
      <c r="C180" s="38"/>
      <c r="D180" s="38"/>
      <c r="E180" s="9"/>
      <c r="F180" s="9"/>
      <c r="G180" s="28" t="str">
        <f aca="false">IF(B180="","",(C180+D180)*設定!$B$6*(1+設定!$B$7)+E180+F180)</f>
        <v/>
      </c>
      <c r="H180" s="28" t="str">
        <f aca="false">IF(B180="","",ROUND(G180*設定!$B$8+G180*(1+設定!$B$8)*設定!$B$9,0))</f>
        <v/>
      </c>
      <c r="I180" s="28" t="str">
        <f aca="false">IF(B180="","",ROUND(B180*設定!$B$10,0)+設定!$B$11+設定!$B$12)</f>
        <v/>
      </c>
      <c r="J180" s="39" t="str">
        <f aca="false">IF(B180="","",B180-G180-H180-I180)</f>
        <v/>
      </c>
      <c r="K180" s="40" t="str">
        <f aca="false">IF(B180="","",IFERROR(J180/B180,""))</f>
        <v/>
      </c>
      <c r="L180" s="40" t="str">
        <f aca="false">IF(B180="","",IFERROR(J180/(G180+H180),""))</f>
        <v/>
      </c>
      <c r="M180" s="28" t="str">
        <f aca="false">IF(B180="","",IF(J180&lt;=0,"赤字",ROUNDUP(設定!$B$3/J180,0)))</f>
        <v/>
      </c>
      <c r="N180" s="28" t="str">
        <f aca="false">IF(B180="","",IFERROR(ROUNDDOWN(設定!$B$4/(G180+H180),0),""))</f>
        <v/>
      </c>
      <c r="O180" s="9"/>
      <c r="P180" s="29" t="str">
        <f aca="false">IF(B180="","",IF(J180&lt;=0,"× 赤字",IF(AND(K180&gt;=設定!$B$22,J180&gt;=設定!$B$23),IF(AND(O180&lt;&gt;"",N180&lt;O180),"△ 予算不足","○ OK"),"△ 利益薄い")))</f>
        <v/>
      </c>
    </row>
    <row r="181" customFormat="false" ht="15" hidden="false" customHeight="true" outlineLevel="0" collapsed="false">
      <c r="A181" s="22"/>
      <c r="B181" s="9"/>
      <c r="C181" s="38"/>
      <c r="D181" s="38"/>
      <c r="E181" s="9"/>
      <c r="F181" s="9"/>
      <c r="G181" s="28" t="str">
        <f aca="false">IF(B181="","",(C181+D181)*設定!$B$6*(1+設定!$B$7)+E181+F181)</f>
        <v/>
      </c>
      <c r="H181" s="28" t="str">
        <f aca="false">IF(B181="","",ROUND(G181*設定!$B$8+G181*(1+設定!$B$8)*設定!$B$9,0))</f>
        <v/>
      </c>
      <c r="I181" s="28" t="str">
        <f aca="false">IF(B181="","",ROUND(B181*設定!$B$10,0)+設定!$B$11+設定!$B$12)</f>
        <v/>
      </c>
      <c r="J181" s="39" t="str">
        <f aca="false">IF(B181="","",B181-G181-H181-I181)</f>
        <v/>
      </c>
      <c r="K181" s="40" t="str">
        <f aca="false">IF(B181="","",IFERROR(J181/B181,""))</f>
        <v/>
      </c>
      <c r="L181" s="40" t="str">
        <f aca="false">IF(B181="","",IFERROR(J181/(G181+H181),""))</f>
        <v/>
      </c>
      <c r="M181" s="28" t="str">
        <f aca="false">IF(B181="","",IF(J181&lt;=0,"赤字",ROUNDUP(設定!$B$3/J181,0)))</f>
        <v/>
      </c>
      <c r="N181" s="28" t="str">
        <f aca="false">IF(B181="","",IFERROR(ROUNDDOWN(設定!$B$4/(G181+H181),0),""))</f>
        <v/>
      </c>
      <c r="O181" s="9"/>
      <c r="P181" s="29" t="str">
        <f aca="false">IF(B181="","",IF(J181&lt;=0,"× 赤字",IF(AND(K181&gt;=設定!$B$22,J181&gt;=設定!$B$23),IF(AND(O181&lt;&gt;"",N181&lt;O181),"△ 予算不足","○ OK"),"△ 利益薄い")))</f>
        <v/>
      </c>
    </row>
    <row r="182" customFormat="false" ht="15" hidden="false" customHeight="true" outlineLevel="0" collapsed="false">
      <c r="A182" s="22"/>
      <c r="B182" s="9"/>
      <c r="C182" s="38"/>
      <c r="D182" s="38"/>
      <c r="E182" s="9"/>
      <c r="F182" s="9"/>
      <c r="G182" s="28" t="str">
        <f aca="false">IF(B182="","",(C182+D182)*設定!$B$6*(1+設定!$B$7)+E182+F182)</f>
        <v/>
      </c>
      <c r="H182" s="28" t="str">
        <f aca="false">IF(B182="","",ROUND(G182*設定!$B$8+G182*(1+設定!$B$8)*設定!$B$9,0))</f>
        <v/>
      </c>
      <c r="I182" s="28" t="str">
        <f aca="false">IF(B182="","",ROUND(B182*設定!$B$10,0)+設定!$B$11+設定!$B$12)</f>
        <v/>
      </c>
      <c r="J182" s="39" t="str">
        <f aca="false">IF(B182="","",B182-G182-H182-I182)</f>
        <v/>
      </c>
      <c r="K182" s="40" t="str">
        <f aca="false">IF(B182="","",IFERROR(J182/B182,""))</f>
        <v/>
      </c>
      <c r="L182" s="40" t="str">
        <f aca="false">IF(B182="","",IFERROR(J182/(G182+H182),""))</f>
        <v/>
      </c>
      <c r="M182" s="28" t="str">
        <f aca="false">IF(B182="","",IF(J182&lt;=0,"赤字",ROUNDUP(設定!$B$3/J182,0)))</f>
        <v/>
      </c>
      <c r="N182" s="28" t="str">
        <f aca="false">IF(B182="","",IFERROR(ROUNDDOWN(設定!$B$4/(G182+H182),0),""))</f>
        <v/>
      </c>
      <c r="O182" s="9"/>
      <c r="P182" s="29" t="str">
        <f aca="false">IF(B182="","",IF(J182&lt;=0,"× 赤字",IF(AND(K182&gt;=設定!$B$22,J182&gt;=設定!$B$23),IF(AND(O182&lt;&gt;"",N182&lt;O182),"△ 予算不足","○ OK"),"△ 利益薄い")))</f>
        <v/>
      </c>
    </row>
    <row r="183" customFormat="false" ht="15" hidden="false" customHeight="true" outlineLevel="0" collapsed="false">
      <c r="A183" s="22"/>
      <c r="B183" s="9"/>
      <c r="C183" s="38"/>
      <c r="D183" s="38"/>
      <c r="E183" s="9"/>
      <c r="F183" s="9"/>
      <c r="G183" s="28" t="str">
        <f aca="false">IF(B183="","",(C183+D183)*設定!$B$6*(1+設定!$B$7)+E183+F183)</f>
        <v/>
      </c>
      <c r="H183" s="28" t="str">
        <f aca="false">IF(B183="","",ROUND(G183*設定!$B$8+G183*(1+設定!$B$8)*設定!$B$9,0))</f>
        <v/>
      </c>
      <c r="I183" s="28" t="str">
        <f aca="false">IF(B183="","",ROUND(B183*設定!$B$10,0)+設定!$B$11+設定!$B$12)</f>
        <v/>
      </c>
      <c r="J183" s="39" t="str">
        <f aca="false">IF(B183="","",B183-G183-H183-I183)</f>
        <v/>
      </c>
      <c r="K183" s="40" t="str">
        <f aca="false">IF(B183="","",IFERROR(J183/B183,""))</f>
        <v/>
      </c>
      <c r="L183" s="40" t="str">
        <f aca="false">IF(B183="","",IFERROR(J183/(G183+H183),""))</f>
        <v/>
      </c>
      <c r="M183" s="28" t="str">
        <f aca="false">IF(B183="","",IF(J183&lt;=0,"赤字",ROUNDUP(設定!$B$3/J183,0)))</f>
        <v/>
      </c>
      <c r="N183" s="28" t="str">
        <f aca="false">IF(B183="","",IFERROR(ROUNDDOWN(設定!$B$4/(G183+H183),0),""))</f>
        <v/>
      </c>
      <c r="O183" s="9"/>
      <c r="P183" s="29" t="str">
        <f aca="false">IF(B183="","",IF(J183&lt;=0,"× 赤字",IF(AND(K183&gt;=設定!$B$22,J183&gt;=設定!$B$23),IF(AND(O183&lt;&gt;"",N183&lt;O183),"△ 予算不足","○ OK"),"△ 利益薄い")))</f>
        <v/>
      </c>
    </row>
    <row r="184" customFormat="false" ht="15" hidden="false" customHeight="true" outlineLevel="0" collapsed="false">
      <c r="A184" s="22"/>
      <c r="B184" s="9"/>
      <c r="C184" s="38"/>
      <c r="D184" s="38"/>
      <c r="E184" s="9"/>
      <c r="F184" s="9"/>
      <c r="G184" s="28" t="str">
        <f aca="false">IF(B184="","",(C184+D184)*設定!$B$6*(1+設定!$B$7)+E184+F184)</f>
        <v/>
      </c>
      <c r="H184" s="28" t="str">
        <f aca="false">IF(B184="","",ROUND(G184*設定!$B$8+G184*(1+設定!$B$8)*設定!$B$9,0))</f>
        <v/>
      </c>
      <c r="I184" s="28" t="str">
        <f aca="false">IF(B184="","",ROUND(B184*設定!$B$10,0)+設定!$B$11+設定!$B$12)</f>
        <v/>
      </c>
      <c r="J184" s="39" t="str">
        <f aca="false">IF(B184="","",B184-G184-H184-I184)</f>
        <v/>
      </c>
      <c r="K184" s="40" t="str">
        <f aca="false">IF(B184="","",IFERROR(J184/B184,""))</f>
        <v/>
      </c>
      <c r="L184" s="40" t="str">
        <f aca="false">IF(B184="","",IFERROR(J184/(G184+H184),""))</f>
        <v/>
      </c>
      <c r="M184" s="28" t="str">
        <f aca="false">IF(B184="","",IF(J184&lt;=0,"赤字",ROUNDUP(設定!$B$3/J184,0)))</f>
        <v/>
      </c>
      <c r="N184" s="28" t="str">
        <f aca="false">IF(B184="","",IFERROR(ROUNDDOWN(設定!$B$4/(G184+H184),0),""))</f>
        <v/>
      </c>
      <c r="O184" s="9"/>
      <c r="P184" s="29" t="str">
        <f aca="false">IF(B184="","",IF(J184&lt;=0,"× 赤字",IF(AND(K184&gt;=設定!$B$22,J184&gt;=設定!$B$23),IF(AND(O184&lt;&gt;"",N184&lt;O184),"△ 予算不足","○ OK"),"△ 利益薄い")))</f>
        <v/>
      </c>
    </row>
    <row r="185" customFormat="false" ht="15" hidden="false" customHeight="true" outlineLevel="0" collapsed="false">
      <c r="A185" s="22"/>
      <c r="B185" s="9"/>
      <c r="C185" s="38"/>
      <c r="D185" s="38"/>
      <c r="E185" s="9"/>
      <c r="F185" s="9"/>
      <c r="G185" s="28" t="str">
        <f aca="false">IF(B185="","",(C185+D185)*設定!$B$6*(1+設定!$B$7)+E185+F185)</f>
        <v/>
      </c>
      <c r="H185" s="28" t="str">
        <f aca="false">IF(B185="","",ROUND(G185*設定!$B$8+G185*(1+設定!$B$8)*設定!$B$9,0))</f>
        <v/>
      </c>
      <c r="I185" s="28" t="str">
        <f aca="false">IF(B185="","",ROUND(B185*設定!$B$10,0)+設定!$B$11+設定!$B$12)</f>
        <v/>
      </c>
      <c r="J185" s="39" t="str">
        <f aca="false">IF(B185="","",B185-G185-H185-I185)</f>
        <v/>
      </c>
      <c r="K185" s="40" t="str">
        <f aca="false">IF(B185="","",IFERROR(J185/B185,""))</f>
        <v/>
      </c>
      <c r="L185" s="40" t="str">
        <f aca="false">IF(B185="","",IFERROR(J185/(G185+H185),""))</f>
        <v/>
      </c>
      <c r="M185" s="28" t="str">
        <f aca="false">IF(B185="","",IF(J185&lt;=0,"赤字",ROUNDUP(設定!$B$3/J185,0)))</f>
        <v/>
      </c>
      <c r="N185" s="28" t="str">
        <f aca="false">IF(B185="","",IFERROR(ROUNDDOWN(設定!$B$4/(G185+H185),0),""))</f>
        <v/>
      </c>
      <c r="O185" s="9"/>
      <c r="P185" s="29" t="str">
        <f aca="false">IF(B185="","",IF(J185&lt;=0,"× 赤字",IF(AND(K185&gt;=設定!$B$22,J185&gt;=設定!$B$23),IF(AND(O185&lt;&gt;"",N185&lt;O185),"△ 予算不足","○ OK"),"△ 利益薄い")))</f>
        <v/>
      </c>
    </row>
    <row r="186" customFormat="false" ht="15" hidden="false" customHeight="true" outlineLevel="0" collapsed="false">
      <c r="A186" s="22"/>
      <c r="B186" s="9"/>
      <c r="C186" s="38"/>
      <c r="D186" s="38"/>
      <c r="E186" s="9"/>
      <c r="F186" s="9"/>
      <c r="G186" s="28" t="str">
        <f aca="false">IF(B186="","",(C186+D186)*設定!$B$6*(1+設定!$B$7)+E186+F186)</f>
        <v/>
      </c>
      <c r="H186" s="28" t="str">
        <f aca="false">IF(B186="","",ROUND(G186*設定!$B$8+G186*(1+設定!$B$8)*設定!$B$9,0))</f>
        <v/>
      </c>
      <c r="I186" s="28" t="str">
        <f aca="false">IF(B186="","",ROUND(B186*設定!$B$10,0)+設定!$B$11+設定!$B$12)</f>
        <v/>
      </c>
      <c r="J186" s="39" t="str">
        <f aca="false">IF(B186="","",B186-G186-H186-I186)</f>
        <v/>
      </c>
      <c r="K186" s="40" t="str">
        <f aca="false">IF(B186="","",IFERROR(J186/B186,""))</f>
        <v/>
      </c>
      <c r="L186" s="40" t="str">
        <f aca="false">IF(B186="","",IFERROR(J186/(G186+H186),""))</f>
        <v/>
      </c>
      <c r="M186" s="28" t="str">
        <f aca="false">IF(B186="","",IF(J186&lt;=0,"赤字",ROUNDUP(設定!$B$3/J186,0)))</f>
        <v/>
      </c>
      <c r="N186" s="28" t="str">
        <f aca="false">IF(B186="","",IFERROR(ROUNDDOWN(設定!$B$4/(G186+H186),0),""))</f>
        <v/>
      </c>
      <c r="O186" s="9"/>
      <c r="P186" s="29" t="str">
        <f aca="false">IF(B186="","",IF(J186&lt;=0,"× 赤字",IF(AND(K186&gt;=設定!$B$22,J186&gt;=設定!$B$23),IF(AND(O186&lt;&gt;"",N186&lt;O186),"△ 予算不足","○ OK"),"△ 利益薄い")))</f>
        <v/>
      </c>
    </row>
    <row r="187" customFormat="false" ht="15" hidden="false" customHeight="true" outlineLevel="0" collapsed="false">
      <c r="A187" s="22"/>
      <c r="B187" s="9"/>
      <c r="C187" s="38"/>
      <c r="D187" s="38"/>
      <c r="E187" s="9"/>
      <c r="F187" s="9"/>
      <c r="G187" s="28" t="str">
        <f aca="false">IF(B187="","",(C187+D187)*設定!$B$6*(1+設定!$B$7)+E187+F187)</f>
        <v/>
      </c>
      <c r="H187" s="28" t="str">
        <f aca="false">IF(B187="","",ROUND(G187*設定!$B$8+G187*(1+設定!$B$8)*設定!$B$9,0))</f>
        <v/>
      </c>
      <c r="I187" s="28" t="str">
        <f aca="false">IF(B187="","",ROUND(B187*設定!$B$10,0)+設定!$B$11+設定!$B$12)</f>
        <v/>
      </c>
      <c r="J187" s="39" t="str">
        <f aca="false">IF(B187="","",B187-G187-H187-I187)</f>
        <v/>
      </c>
      <c r="K187" s="40" t="str">
        <f aca="false">IF(B187="","",IFERROR(J187/B187,""))</f>
        <v/>
      </c>
      <c r="L187" s="40" t="str">
        <f aca="false">IF(B187="","",IFERROR(J187/(G187+H187),""))</f>
        <v/>
      </c>
      <c r="M187" s="28" t="str">
        <f aca="false">IF(B187="","",IF(J187&lt;=0,"赤字",ROUNDUP(設定!$B$3/J187,0)))</f>
        <v/>
      </c>
      <c r="N187" s="28" t="str">
        <f aca="false">IF(B187="","",IFERROR(ROUNDDOWN(設定!$B$4/(G187+H187),0),""))</f>
        <v/>
      </c>
      <c r="O187" s="9"/>
      <c r="P187" s="29" t="str">
        <f aca="false">IF(B187="","",IF(J187&lt;=0,"× 赤字",IF(AND(K187&gt;=設定!$B$22,J187&gt;=設定!$B$23),IF(AND(O187&lt;&gt;"",N187&lt;O187),"△ 予算不足","○ OK"),"△ 利益薄い")))</f>
        <v/>
      </c>
    </row>
    <row r="188" customFormat="false" ht="15" hidden="false" customHeight="true" outlineLevel="0" collapsed="false">
      <c r="A188" s="22"/>
      <c r="B188" s="9"/>
      <c r="C188" s="38"/>
      <c r="D188" s="38"/>
      <c r="E188" s="9"/>
      <c r="F188" s="9"/>
      <c r="G188" s="28" t="str">
        <f aca="false">IF(B188="","",(C188+D188)*設定!$B$6*(1+設定!$B$7)+E188+F188)</f>
        <v/>
      </c>
      <c r="H188" s="28" t="str">
        <f aca="false">IF(B188="","",ROUND(G188*設定!$B$8+G188*(1+設定!$B$8)*設定!$B$9,0))</f>
        <v/>
      </c>
      <c r="I188" s="28" t="str">
        <f aca="false">IF(B188="","",ROUND(B188*設定!$B$10,0)+設定!$B$11+設定!$B$12)</f>
        <v/>
      </c>
      <c r="J188" s="39" t="str">
        <f aca="false">IF(B188="","",B188-G188-H188-I188)</f>
        <v/>
      </c>
      <c r="K188" s="40" t="str">
        <f aca="false">IF(B188="","",IFERROR(J188/B188,""))</f>
        <v/>
      </c>
      <c r="L188" s="40" t="str">
        <f aca="false">IF(B188="","",IFERROR(J188/(G188+H188),""))</f>
        <v/>
      </c>
      <c r="M188" s="28" t="str">
        <f aca="false">IF(B188="","",IF(J188&lt;=0,"赤字",ROUNDUP(設定!$B$3/J188,0)))</f>
        <v/>
      </c>
      <c r="N188" s="28" t="str">
        <f aca="false">IF(B188="","",IFERROR(ROUNDDOWN(設定!$B$4/(G188+H188),0),""))</f>
        <v/>
      </c>
      <c r="O188" s="9"/>
      <c r="P188" s="29" t="str">
        <f aca="false">IF(B188="","",IF(J188&lt;=0,"× 赤字",IF(AND(K188&gt;=設定!$B$22,J188&gt;=設定!$B$23),IF(AND(O188&lt;&gt;"",N188&lt;O188),"△ 予算不足","○ OK"),"△ 利益薄い")))</f>
        <v/>
      </c>
    </row>
    <row r="189" customFormat="false" ht="15" hidden="false" customHeight="true" outlineLevel="0" collapsed="false">
      <c r="A189" s="22"/>
      <c r="B189" s="9"/>
      <c r="C189" s="38"/>
      <c r="D189" s="38"/>
      <c r="E189" s="9"/>
      <c r="F189" s="9"/>
      <c r="G189" s="28" t="str">
        <f aca="false">IF(B189="","",(C189+D189)*設定!$B$6*(1+設定!$B$7)+E189+F189)</f>
        <v/>
      </c>
      <c r="H189" s="28" t="str">
        <f aca="false">IF(B189="","",ROUND(G189*設定!$B$8+G189*(1+設定!$B$8)*設定!$B$9,0))</f>
        <v/>
      </c>
      <c r="I189" s="28" t="str">
        <f aca="false">IF(B189="","",ROUND(B189*設定!$B$10,0)+設定!$B$11+設定!$B$12)</f>
        <v/>
      </c>
      <c r="J189" s="39" t="str">
        <f aca="false">IF(B189="","",B189-G189-H189-I189)</f>
        <v/>
      </c>
      <c r="K189" s="40" t="str">
        <f aca="false">IF(B189="","",IFERROR(J189/B189,""))</f>
        <v/>
      </c>
      <c r="L189" s="40" t="str">
        <f aca="false">IF(B189="","",IFERROR(J189/(G189+H189),""))</f>
        <v/>
      </c>
      <c r="M189" s="28" t="str">
        <f aca="false">IF(B189="","",IF(J189&lt;=0,"赤字",ROUNDUP(設定!$B$3/J189,0)))</f>
        <v/>
      </c>
      <c r="N189" s="28" t="str">
        <f aca="false">IF(B189="","",IFERROR(ROUNDDOWN(設定!$B$4/(G189+H189),0),""))</f>
        <v/>
      </c>
      <c r="O189" s="9"/>
      <c r="P189" s="29" t="str">
        <f aca="false">IF(B189="","",IF(J189&lt;=0,"× 赤字",IF(AND(K189&gt;=設定!$B$22,J189&gt;=設定!$B$23),IF(AND(O189&lt;&gt;"",N189&lt;O189),"△ 予算不足","○ OK"),"△ 利益薄い")))</f>
        <v/>
      </c>
    </row>
    <row r="190" customFormat="false" ht="15" hidden="false" customHeight="true" outlineLevel="0" collapsed="false">
      <c r="A190" s="22"/>
      <c r="B190" s="9"/>
      <c r="C190" s="38"/>
      <c r="D190" s="38"/>
      <c r="E190" s="9"/>
      <c r="F190" s="9"/>
      <c r="G190" s="28" t="str">
        <f aca="false">IF(B190="","",(C190+D190)*設定!$B$6*(1+設定!$B$7)+E190+F190)</f>
        <v/>
      </c>
      <c r="H190" s="28" t="str">
        <f aca="false">IF(B190="","",ROUND(G190*設定!$B$8+G190*(1+設定!$B$8)*設定!$B$9,0))</f>
        <v/>
      </c>
      <c r="I190" s="28" t="str">
        <f aca="false">IF(B190="","",ROUND(B190*設定!$B$10,0)+設定!$B$11+設定!$B$12)</f>
        <v/>
      </c>
      <c r="J190" s="39" t="str">
        <f aca="false">IF(B190="","",B190-G190-H190-I190)</f>
        <v/>
      </c>
      <c r="K190" s="40" t="str">
        <f aca="false">IF(B190="","",IFERROR(J190/B190,""))</f>
        <v/>
      </c>
      <c r="L190" s="40" t="str">
        <f aca="false">IF(B190="","",IFERROR(J190/(G190+H190),""))</f>
        <v/>
      </c>
      <c r="M190" s="28" t="str">
        <f aca="false">IF(B190="","",IF(J190&lt;=0,"赤字",ROUNDUP(設定!$B$3/J190,0)))</f>
        <v/>
      </c>
      <c r="N190" s="28" t="str">
        <f aca="false">IF(B190="","",IFERROR(ROUNDDOWN(設定!$B$4/(G190+H190),0),""))</f>
        <v/>
      </c>
      <c r="O190" s="9"/>
      <c r="P190" s="29" t="str">
        <f aca="false">IF(B190="","",IF(J190&lt;=0,"× 赤字",IF(AND(K190&gt;=設定!$B$22,J190&gt;=設定!$B$23),IF(AND(O190&lt;&gt;"",N190&lt;O190),"△ 予算不足","○ OK"),"△ 利益薄い")))</f>
        <v/>
      </c>
    </row>
    <row r="191" customFormat="false" ht="15" hidden="false" customHeight="true" outlineLevel="0" collapsed="false">
      <c r="A191" s="22"/>
      <c r="B191" s="9"/>
      <c r="C191" s="38"/>
      <c r="D191" s="38"/>
      <c r="E191" s="9"/>
      <c r="F191" s="9"/>
      <c r="G191" s="28" t="str">
        <f aca="false">IF(B191="","",(C191+D191)*設定!$B$6*(1+設定!$B$7)+E191+F191)</f>
        <v/>
      </c>
      <c r="H191" s="28" t="str">
        <f aca="false">IF(B191="","",ROUND(G191*設定!$B$8+G191*(1+設定!$B$8)*設定!$B$9,0))</f>
        <v/>
      </c>
      <c r="I191" s="28" t="str">
        <f aca="false">IF(B191="","",ROUND(B191*設定!$B$10,0)+設定!$B$11+設定!$B$12)</f>
        <v/>
      </c>
      <c r="J191" s="39" t="str">
        <f aca="false">IF(B191="","",B191-G191-H191-I191)</f>
        <v/>
      </c>
      <c r="K191" s="40" t="str">
        <f aca="false">IF(B191="","",IFERROR(J191/B191,""))</f>
        <v/>
      </c>
      <c r="L191" s="40" t="str">
        <f aca="false">IF(B191="","",IFERROR(J191/(G191+H191),""))</f>
        <v/>
      </c>
      <c r="M191" s="28" t="str">
        <f aca="false">IF(B191="","",IF(J191&lt;=0,"赤字",ROUNDUP(設定!$B$3/J191,0)))</f>
        <v/>
      </c>
      <c r="N191" s="28" t="str">
        <f aca="false">IF(B191="","",IFERROR(ROUNDDOWN(設定!$B$4/(G191+H191),0),""))</f>
        <v/>
      </c>
      <c r="O191" s="9"/>
      <c r="P191" s="29" t="str">
        <f aca="false">IF(B191="","",IF(J191&lt;=0,"× 赤字",IF(AND(K191&gt;=設定!$B$22,J191&gt;=設定!$B$23),IF(AND(O191&lt;&gt;"",N191&lt;O191),"△ 予算不足","○ OK"),"△ 利益薄い")))</f>
        <v/>
      </c>
    </row>
    <row r="192" customFormat="false" ht="15" hidden="false" customHeight="true" outlineLevel="0" collapsed="false">
      <c r="A192" s="22"/>
      <c r="B192" s="9"/>
      <c r="C192" s="38"/>
      <c r="D192" s="38"/>
      <c r="E192" s="9"/>
      <c r="F192" s="9"/>
      <c r="G192" s="28" t="str">
        <f aca="false">IF(B192="","",(C192+D192)*設定!$B$6*(1+設定!$B$7)+E192+F192)</f>
        <v/>
      </c>
      <c r="H192" s="28" t="str">
        <f aca="false">IF(B192="","",ROUND(G192*設定!$B$8+G192*(1+設定!$B$8)*設定!$B$9,0))</f>
        <v/>
      </c>
      <c r="I192" s="28" t="str">
        <f aca="false">IF(B192="","",ROUND(B192*設定!$B$10,0)+設定!$B$11+設定!$B$12)</f>
        <v/>
      </c>
      <c r="J192" s="39" t="str">
        <f aca="false">IF(B192="","",B192-G192-H192-I192)</f>
        <v/>
      </c>
      <c r="K192" s="40" t="str">
        <f aca="false">IF(B192="","",IFERROR(J192/B192,""))</f>
        <v/>
      </c>
      <c r="L192" s="40" t="str">
        <f aca="false">IF(B192="","",IFERROR(J192/(G192+H192),""))</f>
        <v/>
      </c>
      <c r="M192" s="28" t="str">
        <f aca="false">IF(B192="","",IF(J192&lt;=0,"赤字",ROUNDUP(設定!$B$3/J192,0)))</f>
        <v/>
      </c>
      <c r="N192" s="28" t="str">
        <f aca="false">IF(B192="","",IFERROR(ROUNDDOWN(設定!$B$4/(G192+H192),0),""))</f>
        <v/>
      </c>
      <c r="O192" s="9"/>
      <c r="P192" s="29" t="str">
        <f aca="false">IF(B192="","",IF(J192&lt;=0,"× 赤字",IF(AND(K192&gt;=設定!$B$22,J192&gt;=設定!$B$23),IF(AND(O192&lt;&gt;"",N192&lt;O192),"△ 予算不足","○ OK"),"△ 利益薄い")))</f>
        <v/>
      </c>
    </row>
    <row r="193" customFormat="false" ht="15" hidden="false" customHeight="true" outlineLevel="0" collapsed="false">
      <c r="A193" s="22"/>
      <c r="B193" s="9"/>
      <c r="C193" s="38"/>
      <c r="D193" s="38"/>
      <c r="E193" s="9"/>
      <c r="F193" s="9"/>
      <c r="G193" s="28" t="str">
        <f aca="false">IF(B193="","",(C193+D193)*設定!$B$6*(1+設定!$B$7)+E193+F193)</f>
        <v/>
      </c>
      <c r="H193" s="28" t="str">
        <f aca="false">IF(B193="","",ROUND(G193*設定!$B$8+G193*(1+設定!$B$8)*設定!$B$9,0))</f>
        <v/>
      </c>
      <c r="I193" s="28" t="str">
        <f aca="false">IF(B193="","",ROUND(B193*設定!$B$10,0)+設定!$B$11+設定!$B$12)</f>
        <v/>
      </c>
      <c r="J193" s="39" t="str">
        <f aca="false">IF(B193="","",B193-G193-H193-I193)</f>
        <v/>
      </c>
      <c r="K193" s="40" t="str">
        <f aca="false">IF(B193="","",IFERROR(J193/B193,""))</f>
        <v/>
      </c>
      <c r="L193" s="40" t="str">
        <f aca="false">IF(B193="","",IFERROR(J193/(G193+H193),""))</f>
        <v/>
      </c>
      <c r="M193" s="28" t="str">
        <f aca="false">IF(B193="","",IF(J193&lt;=0,"赤字",ROUNDUP(設定!$B$3/J193,0)))</f>
        <v/>
      </c>
      <c r="N193" s="28" t="str">
        <f aca="false">IF(B193="","",IFERROR(ROUNDDOWN(設定!$B$4/(G193+H193),0),""))</f>
        <v/>
      </c>
      <c r="O193" s="9"/>
      <c r="P193" s="29" t="str">
        <f aca="false">IF(B193="","",IF(J193&lt;=0,"× 赤字",IF(AND(K193&gt;=設定!$B$22,J193&gt;=設定!$B$23),IF(AND(O193&lt;&gt;"",N193&lt;O193),"△ 予算不足","○ OK"),"△ 利益薄い")))</f>
        <v/>
      </c>
    </row>
    <row r="194" customFormat="false" ht="15" hidden="false" customHeight="true" outlineLevel="0" collapsed="false">
      <c r="A194" s="22"/>
      <c r="B194" s="9"/>
      <c r="C194" s="38"/>
      <c r="D194" s="38"/>
      <c r="E194" s="9"/>
      <c r="F194" s="9"/>
      <c r="G194" s="28" t="str">
        <f aca="false">IF(B194="","",(C194+D194)*設定!$B$6*(1+設定!$B$7)+E194+F194)</f>
        <v/>
      </c>
      <c r="H194" s="28" t="str">
        <f aca="false">IF(B194="","",ROUND(G194*設定!$B$8+G194*(1+設定!$B$8)*設定!$B$9,0))</f>
        <v/>
      </c>
      <c r="I194" s="28" t="str">
        <f aca="false">IF(B194="","",ROUND(B194*設定!$B$10,0)+設定!$B$11+設定!$B$12)</f>
        <v/>
      </c>
      <c r="J194" s="39" t="str">
        <f aca="false">IF(B194="","",B194-G194-H194-I194)</f>
        <v/>
      </c>
      <c r="K194" s="40" t="str">
        <f aca="false">IF(B194="","",IFERROR(J194/B194,""))</f>
        <v/>
      </c>
      <c r="L194" s="40" t="str">
        <f aca="false">IF(B194="","",IFERROR(J194/(G194+H194),""))</f>
        <v/>
      </c>
      <c r="M194" s="28" t="str">
        <f aca="false">IF(B194="","",IF(J194&lt;=0,"赤字",ROUNDUP(設定!$B$3/J194,0)))</f>
        <v/>
      </c>
      <c r="N194" s="28" t="str">
        <f aca="false">IF(B194="","",IFERROR(ROUNDDOWN(設定!$B$4/(G194+H194),0),""))</f>
        <v/>
      </c>
      <c r="O194" s="9"/>
      <c r="P194" s="29" t="str">
        <f aca="false">IF(B194="","",IF(J194&lt;=0,"× 赤字",IF(AND(K194&gt;=設定!$B$22,J194&gt;=設定!$B$23),IF(AND(O194&lt;&gt;"",N194&lt;O194),"△ 予算不足","○ OK"),"△ 利益薄い")))</f>
        <v/>
      </c>
    </row>
    <row r="195" customFormat="false" ht="15" hidden="false" customHeight="true" outlineLevel="0" collapsed="false">
      <c r="A195" s="22"/>
      <c r="B195" s="9"/>
      <c r="C195" s="38"/>
      <c r="D195" s="38"/>
      <c r="E195" s="9"/>
      <c r="F195" s="9"/>
      <c r="G195" s="28" t="str">
        <f aca="false">IF(B195="","",(C195+D195)*設定!$B$6*(1+設定!$B$7)+E195+F195)</f>
        <v/>
      </c>
      <c r="H195" s="28" t="str">
        <f aca="false">IF(B195="","",ROUND(G195*設定!$B$8+G195*(1+設定!$B$8)*設定!$B$9,0))</f>
        <v/>
      </c>
      <c r="I195" s="28" t="str">
        <f aca="false">IF(B195="","",ROUND(B195*設定!$B$10,0)+設定!$B$11+設定!$B$12)</f>
        <v/>
      </c>
      <c r="J195" s="39" t="str">
        <f aca="false">IF(B195="","",B195-G195-H195-I195)</f>
        <v/>
      </c>
      <c r="K195" s="40" t="str">
        <f aca="false">IF(B195="","",IFERROR(J195/B195,""))</f>
        <v/>
      </c>
      <c r="L195" s="40" t="str">
        <f aca="false">IF(B195="","",IFERROR(J195/(G195+H195),""))</f>
        <v/>
      </c>
      <c r="M195" s="28" t="str">
        <f aca="false">IF(B195="","",IF(J195&lt;=0,"赤字",ROUNDUP(設定!$B$3/J195,0)))</f>
        <v/>
      </c>
      <c r="N195" s="28" t="str">
        <f aca="false">IF(B195="","",IFERROR(ROUNDDOWN(設定!$B$4/(G195+H195),0),""))</f>
        <v/>
      </c>
      <c r="O195" s="9"/>
      <c r="P195" s="29" t="str">
        <f aca="false">IF(B195="","",IF(J195&lt;=0,"× 赤字",IF(AND(K195&gt;=設定!$B$22,J195&gt;=設定!$B$23),IF(AND(O195&lt;&gt;"",N195&lt;O195),"△ 予算不足","○ OK"),"△ 利益薄い")))</f>
        <v/>
      </c>
    </row>
    <row r="196" customFormat="false" ht="15" hidden="false" customHeight="true" outlineLevel="0" collapsed="false">
      <c r="A196" s="22"/>
      <c r="B196" s="9"/>
      <c r="C196" s="38"/>
      <c r="D196" s="38"/>
      <c r="E196" s="9"/>
      <c r="F196" s="9"/>
      <c r="G196" s="28" t="str">
        <f aca="false">IF(B196="","",(C196+D196)*設定!$B$6*(1+設定!$B$7)+E196+F196)</f>
        <v/>
      </c>
      <c r="H196" s="28" t="str">
        <f aca="false">IF(B196="","",ROUND(G196*設定!$B$8+G196*(1+設定!$B$8)*設定!$B$9,0))</f>
        <v/>
      </c>
      <c r="I196" s="28" t="str">
        <f aca="false">IF(B196="","",ROUND(B196*設定!$B$10,0)+設定!$B$11+設定!$B$12)</f>
        <v/>
      </c>
      <c r="J196" s="39" t="str">
        <f aca="false">IF(B196="","",B196-G196-H196-I196)</f>
        <v/>
      </c>
      <c r="K196" s="40" t="str">
        <f aca="false">IF(B196="","",IFERROR(J196/B196,""))</f>
        <v/>
      </c>
      <c r="L196" s="40" t="str">
        <f aca="false">IF(B196="","",IFERROR(J196/(G196+H196),""))</f>
        <v/>
      </c>
      <c r="M196" s="28" t="str">
        <f aca="false">IF(B196="","",IF(J196&lt;=0,"赤字",ROUNDUP(設定!$B$3/J196,0)))</f>
        <v/>
      </c>
      <c r="N196" s="28" t="str">
        <f aca="false">IF(B196="","",IFERROR(ROUNDDOWN(設定!$B$4/(G196+H196),0),""))</f>
        <v/>
      </c>
      <c r="O196" s="9"/>
      <c r="P196" s="29" t="str">
        <f aca="false">IF(B196="","",IF(J196&lt;=0,"× 赤字",IF(AND(K196&gt;=設定!$B$22,J196&gt;=設定!$B$23),IF(AND(O196&lt;&gt;"",N196&lt;O196),"△ 予算不足","○ OK"),"△ 利益薄い")))</f>
        <v/>
      </c>
    </row>
    <row r="197" customFormat="false" ht="15" hidden="false" customHeight="true" outlineLevel="0" collapsed="false">
      <c r="A197" s="22"/>
      <c r="B197" s="9"/>
      <c r="C197" s="38"/>
      <c r="D197" s="38"/>
      <c r="E197" s="9"/>
      <c r="F197" s="9"/>
      <c r="G197" s="28" t="str">
        <f aca="false">IF(B197="","",(C197+D197)*設定!$B$6*(1+設定!$B$7)+E197+F197)</f>
        <v/>
      </c>
      <c r="H197" s="28" t="str">
        <f aca="false">IF(B197="","",ROUND(G197*設定!$B$8+G197*(1+設定!$B$8)*設定!$B$9,0))</f>
        <v/>
      </c>
      <c r="I197" s="28" t="str">
        <f aca="false">IF(B197="","",ROUND(B197*設定!$B$10,0)+設定!$B$11+設定!$B$12)</f>
        <v/>
      </c>
      <c r="J197" s="39" t="str">
        <f aca="false">IF(B197="","",B197-G197-H197-I197)</f>
        <v/>
      </c>
      <c r="K197" s="40" t="str">
        <f aca="false">IF(B197="","",IFERROR(J197/B197,""))</f>
        <v/>
      </c>
      <c r="L197" s="40" t="str">
        <f aca="false">IF(B197="","",IFERROR(J197/(G197+H197),""))</f>
        <v/>
      </c>
      <c r="M197" s="28" t="str">
        <f aca="false">IF(B197="","",IF(J197&lt;=0,"赤字",ROUNDUP(設定!$B$3/J197,0)))</f>
        <v/>
      </c>
      <c r="N197" s="28" t="str">
        <f aca="false">IF(B197="","",IFERROR(ROUNDDOWN(設定!$B$4/(G197+H197),0),""))</f>
        <v/>
      </c>
      <c r="O197" s="9"/>
      <c r="P197" s="29" t="str">
        <f aca="false">IF(B197="","",IF(J197&lt;=0,"× 赤字",IF(AND(K197&gt;=設定!$B$22,J197&gt;=設定!$B$23),IF(AND(O197&lt;&gt;"",N197&lt;O197),"△ 予算不足","○ OK"),"△ 利益薄い")))</f>
        <v/>
      </c>
    </row>
    <row r="198" customFormat="false" ht="15" hidden="false" customHeight="true" outlineLevel="0" collapsed="false">
      <c r="A198" s="22"/>
      <c r="B198" s="9"/>
      <c r="C198" s="38"/>
      <c r="D198" s="38"/>
      <c r="E198" s="9"/>
      <c r="F198" s="9"/>
      <c r="G198" s="28" t="str">
        <f aca="false">IF(B198="","",(C198+D198)*設定!$B$6*(1+設定!$B$7)+E198+F198)</f>
        <v/>
      </c>
      <c r="H198" s="28" t="str">
        <f aca="false">IF(B198="","",ROUND(G198*設定!$B$8+G198*(1+設定!$B$8)*設定!$B$9,0))</f>
        <v/>
      </c>
      <c r="I198" s="28" t="str">
        <f aca="false">IF(B198="","",ROUND(B198*設定!$B$10,0)+設定!$B$11+設定!$B$12)</f>
        <v/>
      </c>
      <c r="J198" s="39" t="str">
        <f aca="false">IF(B198="","",B198-G198-H198-I198)</f>
        <v/>
      </c>
      <c r="K198" s="40" t="str">
        <f aca="false">IF(B198="","",IFERROR(J198/B198,""))</f>
        <v/>
      </c>
      <c r="L198" s="40" t="str">
        <f aca="false">IF(B198="","",IFERROR(J198/(G198+H198),""))</f>
        <v/>
      </c>
      <c r="M198" s="28" t="str">
        <f aca="false">IF(B198="","",IF(J198&lt;=0,"赤字",ROUNDUP(設定!$B$3/J198,0)))</f>
        <v/>
      </c>
      <c r="N198" s="28" t="str">
        <f aca="false">IF(B198="","",IFERROR(ROUNDDOWN(設定!$B$4/(G198+H198),0),""))</f>
        <v/>
      </c>
      <c r="O198" s="9"/>
      <c r="P198" s="29" t="str">
        <f aca="false">IF(B198="","",IF(J198&lt;=0,"× 赤字",IF(AND(K198&gt;=設定!$B$22,J198&gt;=設定!$B$23),IF(AND(O198&lt;&gt;"",N198&lt;O198),"△ 予算不足","○ OK"),"△ 利益薄い")))</f>
        <v/>
      </c>
    </row>
    <row r="199" customFormat="false" ht="15" hidden="false" customHeight="true" outlineLevel="0" collapsed="false">
      <c r="A199" s="22"/>
      <c r="B199" s="9"/>
      <c r="C199" s="38"/>
      <c r="D199" s="38"/>
      <c r="E199" s="9"/>
      <c r="F199" s="9"/>
      <c r="G199" s="28" t="str">
        <f aca="false">IF(B199="","",(C199+D199)*設定!$B$6*(1+設定!$B$7)+E199+F199)</f>
        <v/>
      </c>
      <c r="H199" s="28" t="str">
        <f aca="false">IF(B199="","",ROUND(G199*設定!$B$8+G199*(1+設定!$B$8)*設定!$B$9,0))</f>
        <v/>
      </c>
      <c r="I199" s="28" t="str">
        <f aca="false">IF(B199="","",ROUND(B199*設定!$B$10,0)+設定!$B$11+設定!$B$12)</f>
        <v/>
      </c>
      <c r="J199" s="39" t="str">
        <f aca="false">IF(B199="","",B199-G199-H199-I199)</f>
        <v/>
      </c>
      <c r="K199" s="40" t="str">
        <f aca="false">IF(B199="","",IFERROR(J199/B199,""))</f>
        <v/>
      </c>
      <c r="L199" s="40" t="str">
        <f aca="false">IF(B199="","",IFERROR(J199/(G199+H199),""))</f>
        <v/>
      </c>
      <c r="M199" s="28" t="str">
        <f aca="false">IF(B199="","",IF(J199&lt;=0,"赤字",ROUNDUP(設定!$B$3/J199,0)))</f>
        <v/>
      </c>
      <c r="N199" s="28" t="str">
        <f aca="false">IF(B199="","",IFERROR(ROUNDDOWN(設定!$B$4/(G199+H199),0),""))</f>
        <v/>
      </c>
      <c r="O199" s="9"/>
      <c r="P199" s="29" t="str">
        <f aca="false">IF(B199="","",IF(J199&lt;=0,"× 赤字",IF(AND(K199&gt;=設定!$B$22,J199&gt;=設定!$B$23),IF(AND(O199&lt;&gt;"",N199&lt;O199),"△ 予算不足","○ OK"),"△ 利益薄い")))</f>
        <v/>
      </c>
    </row>
    <row r="200" customFormat="false" ht="15" hidden="false" customHeight="true" outlineLevel="0" collapsed="false">
      <c r="A200" s="22"/>
      <c r="B200" s="9"/>
      <c r="C200" s="38"/>
      <c r="D200" s="38"/>
      <c r="E200" s="9"/>
      <c r="F200" s="9"/>
      <c r="G200" s="28" t="str">
        <f aca="false">IF(B200="","",(C200+D200)*設定!$B$6*(1+設定!$B$7)+E200+F200)</f>
        <v/>
      </c>
      <c r="H200" s="28" t="str">
        <f aca="false">IF(B200="","",ROUND(G200*設定!$B$8+G200*(1+設定!$B$8)*設定!$B$9,0))</f>
        <v/>
      </c>
      <c r="I200" s="28" t="str">
        <f aca="false">IF(B200="","",ROUND(B200*設定!$B$10,0)+設定!$B$11+設定!$B$12)</f>
        <v/>
      </c>
      <c r="J200" s="39" t="str">
        <f aca="false">IF(B200="","",B200-G200-H200-I200)</f>
        <v/>
      </c>
      <c r="K200" s="40" t="str">
        <f aca="false">IF(B200="","",IFERROR(J200/B200,""))</f>
        <v/>
      </c>
      <c r="L200" s="40" t="str">
        <f aca="false">IF(B200="","",IFERROR(J200/(G200+H200),""))</f>
        <v/>
      </c>
      <c r="M200" s="28" t="str">
        <f aca="false">IF(B200="","",IF(J200&lt;=0,"赤字",ROUNDUP(設定!$B$3/J200,0)))</f>
        <v/>
      </c>
      <c r="N200" s="28" t="str">
        <f aca="false">IF(B200="","",IFERROR(ROUNDDOWN(設定!$B$4/(G200+H200),0),""))</f>
        <v/>
      </c>
      <c r="O200" s="9"/>
      <c r="P200" s="29" t="str">
        <f aca="false">IF(B200="","",IF(J200&lt;=0,"× 赤字",IF(AND(K200&gt;=設定!$B$22,J200&gt;=設定!$B$23),IF(AND(O200&lt;&gt;"",N200&lt;O200),"△ 予算不足","○ OK"),"△ 利益薄い")))</f>
        <v/>
      </c>
    </row>
    <row r="201" customFormat="false" ht="15" hidden="false" customHeight="true" outlineLevel="0" collapsed="false">
      <c r="A201" s="22"/>
      <c r="B201" s="9"/>
      <c r="C201" s="38"/>
      <c r="D201" s="38"/>
      <c r="E201" s="9"/>
      <c r="F201" s="9"/>
      <c r="G201" s="28" t="str">
        <f aca="false">IF(B201="","",(C201+D201)*設定!$B$6*(1+設定!$B$7)+E201+F201)</f>
        <v/>
      </c>
      <c r="H201" s="28" t="str">
        <f aca="false">IF(B201="","",ROUND(G201*設定!$B$8+G201*(1+設定!$B$8)*設定!$B$9,0))</f>
        <v/>
      </c>
      <c r="I201" s="28" t="str">
        <f aca="false">IF(B201="","",ROUND(B201*設定!$B$10,0)+設定!$B$11+設定!$B$12)</f>
        <v/>
      </c>
      <c r="J201" s="39" t="str">
        <f aca="false">IF(B201="","",B201-G201-H201-I201)</f>
        <v/>
      </c>
      <c r="K201" s="40" t="str">
        <f aca="false">IF(B201="","",IFERROR(J201/B201,""))</f>
        <v/>
      </c>
      <c r="L201" s="40" t="str">
        <f aca="false">IF(B201="","",IFERROR(J201/(G201+H201),""))</f>
        <v/>
      </c>
      <c r="M201" s="28" t="str">
        <f aca="false">IF(B201="","",IF(J201&lt;=0,"赤字",ROUNDUP(設定!$B$3/J201,0)))</f>
        <v/>
      </c>
      <c r="N201" s="28" t="str">
        <f aca="false">IF(B201="","",IFERROR(ROUNDDOWN(設定!$B$4/(G201+H201),0),""))</f>
        <v/>
      </c>
      <c r="O201" s="9"/>
      <c r="P201" s="29" t="str">
        <f aca="false">IF(B201="","",IF(J201&lt;=0,"× 赤字",IF(AND(K201&gt;=設定!$B$22,J201&gt;=設定!$B$23),IF(AND(O201&lt;&gt;"",N201&lt;O201),"△ 予算不足","○ OK"),"△ 利益薄い")))</f>
        <v/>
      </c>
    </row>
  </sheetData>
  <conditionalFormatting sqref="P2:P201">
    <cfRule type="expression" priority="2" aboveAverage="0" equalAverage="0" bottom="0" percent="0" rank="0" text="" dxfId="8">
      <formula>LEFT(P2,1)="○"</formula>
    </cfRule>
    <cfRule type="expression" priority="3" aboveAverage="0" equalAverage="0" bottom="0" percent="0" rank="0" text="" dxfId="10">
      <formula>LEFT(P2,1)="△"</formula>
    </cfRule>
    <cfRule type="expression" priority="4" aboveAverage="0" equalAverage="0" bottom="0" percent="0" rank="0" text="" dxfId="11">
      <formula>LEFT(P2,1)="×"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2026-10-12T08:07:44Z</dcterms:created>
  <dc:creator>openpyxl</dc:creator>
  <dc:description/>
  <dc:language>en-US</dc:language>
  <cp:lastModifiedBy/>
  <dcterms:modified xsi:type="dcterms:W3CDTF">2026-10-12T08:20:47Z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